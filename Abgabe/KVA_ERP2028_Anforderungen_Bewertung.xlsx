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Lesehilfe" sheetId="1" state="visible" r:id="rId3"/>
    <sheet name="1_Widersprüche" sheetId="2" state="visible" r:id="rId4"/>
    <sheet name="2_K.o.-Kriterien" sheetId="3" state="visible" r:id="rId5"/>
    <sheet name="3_Anforderungen" sheetId="4" state="visible" r:id="rId6"/>
    <sheet name="4_Mengengerüst" sheetId="5" state="visible" r:id="rId7"/>
    <sheet name="5_Longlist" sheetId="6" state="visible" r:id="rId8"/>
    <sheet name="6_Nutzwertanalyse" sheetId="7" state="visible" r:id="rId9"/>
    <sheet name="7_TCO_Annahmen" sheetId="8" state="visible" r:id="rId10"/>
    <sheet name="8_TCO_5J" sheetId="9" state="visible" r:id="rId11"/>
    <sheet name="9_Nutzen" sheetId="10" state="visible" r:id="rId12"/>
    <sheet name="10_Quellen" sheetId="11" state="visible" r:id="rId13"/>
    <sheet name="11_Störinformationen" sheetId="12" state="visible" r:id="rId14"/>
    <sheet name="12_Lizenzmodelle" sheetId="13" state="visible" r:id="rId15"/>
    <sheet name="13_Länder_Recht" sheetId="14" state="visible" r:id="rId16"/>
    <sheet name="14_Stakeholder" sheetId="15" state="visible" r:id="rId17"/>
    <sheet name="15_Testskript" sheetId="16" state="visible" r:id="rId18"/>
  </sheets>
  <definedNames>
    <definedName function="false" hidden="true" localSheetId="1" name="_xlnm._FilterDatabase" vbProcedure="false">1_Widersprüche!$A$1:$I$43</definedName>
    <definedName function="false" hidden="true" localSheetId="10" name="_xlnm._FilterDatabase" vbProcedure="false">10_Quellen!$A$1:$D$24</definedName>
    <definedName function="false" hidden="true" localSheetId="11" name="_xlnm._FilterDatabase" vbProcedure="false">11_Störinformationen!$A$1:$E$21</definedName>
    <definedName function="false" hidden="true" localSheetId="12" name="_xlnm._FilterDatabase" vbProcedure="false">12_Lizenzmodelle!$A$1:$G$7</definedName>
    <definedName function="false" hidden="true" localSheetId="13" name="_xlnm._FilterDatabase" vbProcedure="false">13_Länder_Recht!$A$1:$D$5</definedName>
    <definedName function="false" hidden="true" localSheetId="14" name="_xlnm._FilterDatabase" vbProcedure="false">14_Stakeholder!$A$1:$C$8</definedName>
    <definedName function="false" hidden="true" localSheetId="15" name="_xlnm._FilterDatabase" vbProcedure="false">15_Testskript!$A$1:$C$7</definedName>
    <definedName function="false" hidden="true" localSheetId="2" name="_xlnm._FilterDatabase" vbProcedure="false">'2_K.o.-Kriterien'!$A$1:$E$9</definedName>
    <definedName function="false" hidden="true" localSheetId="3" name="_xlnm._FilterDatabase" vbProcedure="false">3_Anforderungen!$A$1:$K$120</definedName>
    <definedName function="false" hidden="true" localSheetId="4" name="_xlnm._FilterDatabase" vbProcedure="false">4_Mengengerüst!$A$1:$E$17</definedName>
    <definedName function="false" hidden="true" localSheetId="5" name="_xlnm._FilterDatabase" vbProcedure="false">5_Longlist!$A$1:$L$17</definedName>
    <definedName function="false" hidden="true" localSheetId="9" name="_xlnm._FilterDatabase" vbProcedure="false">9_Nutzen!$A$1:$E$7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<sst xmlns="http://schemas.openxmlformats.org/spreadsheetml/2006/main" count="2444" uniqueCount="1502">
  <si>
    <t xml:space="preserve">KVA – ERP 2028: Konsolidierter Anforderungskatalog, Widerspruchsliste, Bewertung &amp; TCO</t>
  </si>
  <si>
    <t xml:space="preserve">Artefakte B + C · HTWG Konstanz · ERP-Systeme · Stand: 29.10.2026</t>
  </si>
  <si>
    <t xml:space="preserve">Blätter</t>
  </si>
  <si>
    <t xml:space="preserve">1_Widersprüche – 42 Widersprüche/Lücken mit Fundstelle, Auswirkung, Lösungsvorschlag und Entscheider</t>
  </si>
  <si>
    <t xml:space="preserve">2_K.o.-Kriterien – 8 harte Ausschlusskriterien mit Prüfmethode</t>
  </si>
  <si>
    <t xml:space="preserve">3_Anforderungen – alle 111 Rohanforderungen klassifiziert + 8 neue Anforderungen (N-xxx)</t>
  </si>
  <si>
    <t xml:space="preserve">4_Mengengerüst – widersprüchliche Zahlen und gewählter Planwert</t>
  </si>
  <si>
    <t xml:space="preserve">5_Longlist – 16 Optionen, Filter über K.o.-Kriterien → Shortlist</t>
  </si>
  <si>
    <t xml:space="preserve">6_Nutzwertanalyse – gewichtete Bewertung der Shortlist + Sensitivitätsanalyse (Formeln)</t>
  </si>
  <si>
    <t xml:space="preserve">7_TCO_Annahmen – alle Kostenparameter (gelb = Annahme, änderbar)</t>
  </si>
  <si>
    <t xml:space="preserve">8_TCO_5J – 5-Jahres-TCO 2027–2031 je System (Formeln auf Blatt 7)</t>
  </si>
  <si>
    <t xml:space="preserve">9_Nutzen – Business-Case-Hebel (Spannen)</t>
  </si>
  <si>
    <t xml:space="preserve">10_Quellen – Fallpaket-Fundstellen und externe Quellen</t>
  </si>
  <si>
    <t xml:space="preserve">11_Störinformationen – 20 bewusst aussortierte Informationen (veraltet, falsch, Anekdote, Präferenz)</t>
  </si>
  <si>
    <t xml:space="preserve">12_Lizenzmodelle – Lizenzmodelle der Kandidaten und Folgen für KVA</t>
  </si>
  <si>
    <t xml:space="preserve">13_Länder_Recht – DE (Inland), CZ (EU-Ausland), CH (Drittland), Datenstandort</t>
  </si>
  <si>
    <t xml:space="preserve">15_Testskript – 6 identische Testfälle für Drehbuch-Demo und PoC aller Anbieter</t>
  </si>
  <si>
    <t xml:space="preserve">14_Stakeholder – Anliegen von GF, CFO, IT, Pilsen, Betriebsrat, Beirat und unsere Antwort</t>
  </si>
  <si>
    <t xml:space="preserve">Legende Priorität</t>
  </si>
  <si>
    <t xml:space="preserve">K.o. = Ausschluss bei Nichterfüllung · Muss = Phase 1 erforderlich · Kann = Bonus in Bewertung · Phase 2 = nach Go-live · gestrichen = Lösungsvorgabe/Dublette/Präferenz</t>
  </si>
  <si>
    <t xml:space="preserve">Klassifizierung: Anforderung · gesetzlich · Rahmenbedingung · Lösungsvorgabe (beschreibt eine Lösung statt Bedarf) · Präferenz (persönlich) · Dublette · veraltet</t>
  </si>
  <si>
    <t xml:space="preserve">Wichtig: Preise von proALPHA, IFS und abas sind nicht öffentlich – alle TCO-Werte sind gekennzeichnete Annahmen (gelb) und im RFP zu validieren.</t>
  </si>
  <si>
    <t xml:space="preserve">ID</t>
  </si>
  <si>
    <t xml:space="preserve">Thema</t>
  </si>
  <si>
    <t xml:space="preserve">Aussage A (Fundstelle)</t>
  </si>
  <si>
    <t xml:space="preserve">Aussage B (Fundstelle)</t>
  </si>
  <si>
    <t xml:space="preserve">Typ</t>
  </si>
  <si>
    <t xml:space="preserve">Auswirkung</t>
  </si>
  <si>
    <t xml:space="preserve">Lösungsvorschlag</t>
  </si>
  <si>
    <t xml:space="preserve">Entscheidung durch</t>
  </si>
  <si>
    <t xml:space="preserve">Relevanz</t>
  </si>
  <si>
    <t xml:space="preserve">W-01</t>
  </si>
  <si>
    <t xml:space="preserve">Budget</t>
  </si>
  <si>
    <t xml:space="preserve">Projektauftrag v1.2 Kap. 5: 1,2 Mio. € (Einführung + 3 J. Lizenzen, interne Kosten 120 T€)</t>
  </si>
  <si>
    <t xml:space="preserve">Int. 01 Kessler: „unter 1 Mio.“; Int. 02 Vogt: „mehr als 1 Mio. mache ich nicht mit“; Int. 03 / Mail Haller 19.01.: TCO 5 J. max. 1,5 Mio.</t>
  </si>
  <si>
    <t xml:space="preserve">Widerspruch</t>
  </si>
  <si>
    <t xml:space="preserve">Ohne gemeinsame Bezugsgröße ist jedes Angebot „zu teuer“ – Risiko Entscheidungsblockade wie 2016</t>
  </si>
  <si>
    <t xml:space="preserve">Einheitliche Bezugsgröße 5-J.-TCO inkl. interner Kosten (LK-Beschluss 18.02.). Obergrenze auf Basis TCO-Abschätzung neu festlegen (unsere Spanne 2,2–3,8 Mio. €), Budget gegen Business Case stellen</t>
  </si>
  <si>
    <t xml:space="preserve">GF / Beirat</t>
  </si>
  <si>
    <t xml:space="preserve">hoch</t>
  </si>
  <si>
    <t xml:space="preserve">W-02</t>
  </si>
  <si>
    <t xml:space="preserve">Interne Kosten</t>
  </si>
  <si>
    <t xml:space="preserve">Projektauftrag Kap. 5: interne Freistellungen in 1,2 Mio. enthalten (120 T€)</t>
  </si>
  <si>
    <t xml:space="preserve">Mail Haller 19.01.: realistisch 350–450 T€ (10 Key User, 18 Mon., 20–30 %)</t>
  </si>
  <si>
    <t xml:space="preserve">Zahl falsch</t>
  </si>
  <si>
    <t xml:space="preserve">Budget um ca. 300 T€ unterschätzt</t>
  </si>
  <si>
    <t xml:space="preserve">In TCO 400–500 T€ interne Kosten ansetzen; Freistellung vertraglich mit Linienvorgesetzten vereinbaren</t>
  </si>
  <si>
    <t xml:space="preserve">LK</t>
  </si>
  <si>
    <t xml:space="preserve">W-03</t>
  </si>
  <si>
    <t xml:space="preserve">Go-live-Termin</t>
  </si>
  <si>
    <t xml:space="preserve">Projektauftrag / Kick-off: Go-live Singen 01.01.2028 „nicht verhandelbar“ (Kessler)</t>
  </si>
  <si>
    <t xml:space="preserve">Int. 04 Brenner: realistisch Mitte 2028; Int. 02 Vogt: „wird nicht klappen“; Meilenstein „Vertrag 30.09.2026“ ist bereits verstrichen (Stand 10/2026)</t>
  </si>
  <si>
    <t xml:space="preserve">Widerspruch / veraltet</t>
  </si>
  <si>
    <t xml:space="preserve">Vertrag frühestens Q1/2027 → 9 Monate bis 01.01.2028 für CTO+ETO+3 Länder unrealistisch</t>
  </si>
  <si>
    <t xml:space="preserve">Go-live Singen 01.04.2028 planen (Puffer bis 01.07.2028); Überbrückung Brugger-Wissen durch Dokumentation + Bereitschaftsvertrag (RPG-Dienstleister, ggf. Fa. aus Ulm)</t>
  </si>
  <si>
    <t xml:space="preserve">GF</t>
  </si>
  <si>
    <t xml:space="preserve">W-04</t>
  </si>
  <si>
    <t xml:space="preserve">Verlängerung Brugger</t>
  </si>
  <si>
    <t xml:space="preserve">IT-Historie Kap. 3: Brugger: Verlängerung „ausgeschlossen“; Int. 01 Kessler: „will ich nicht“</t>
  </si>
  <si>
    <t xml:space="preserve">Int. 03 Haller: 6–12 Monate „verhandelbar“; Int. 04 Brugger: „Wenn es brennt, rufen Sie an. Aber ich mache keinen Vertrag.“</t>
  </si>
  <si>
    <t xml:space="preserve">Entscheidet über Puffer beim Go-live-Termin</t>
  </si>
  <si>
    <t xml:space="preserve">Kein Freelancer-Vertrag als Plan A. Stattdessen: Wissensdokumentation 2027 (versteckte Preislogik, Nachtläufe), Rufbereitschaft auf Stundenbasis anbieten, externer RPG-Dienstleister als Backup</t>
  </si>
  <si>
    <t xml:space="preserve">W-05</t>
  </si>
  <si>
    <t xml:space="preserve">Scope Pilsen</t>
  </si>
  <si>
    <t xml:space="preserve">Projektauftrag Kap. 4/8: Pilsen Phase 2, Go-live 2029; Vogt Mail 04.02.: „NAV läuft doch“; Brenner: parallel „unmöglich“</t>
  </si>
  <si>
    <t xml:space="preserve">Int. 11 / Mail Nováková 04.02.: Partner kündigt 31.12.2026 schriftlich, Server 2016 ohne Failover, „We cannot wait until 2029“; Haller: Konsolidierung ab Go-live; Kessler: „vielleicht war das falsch“</t>
  </si>
  <si>
    <t xml:space="preserve">Höchstes Betriebsrisiko der Gruppe (Werk liefert 40 % der Gehäuse nach Singen)</t>
  </si>
  <si>
    <t xml:space="preserve">Pilsen als Pilot ZUERST (sequenziell, nicht parallel): Go-live Pilsen Q3/2027 auf dem Ziel-ERP; NAV-Betrieb bis dahin über befristeten Notfallsupport + Virtualisierung/Backup des Servers absichern</t>
  </si>
  <si>
    <t xml:space="preserve">GF / LK</t>
  </si>
  <si>
    <t xml:space="preserve">W-06</t>
  </si>
  <si>
    <t xml:space="preserve">Brückenlösung Pilsen</t>
  </si>
  <si>
    <t xml:space="preserve">Mail Nováková 04.02.: DataSoft bietet Migration auf Business Central für ca. 2,1 Mio. CZK, 6 Monate; Dvořák: „schnelles separates Cloud-ERP“</t>
  </si>
  <si>
    <t xml:space="preserve">Int. 11 Nováková: „Two migrations in three years? No.“; Vogt: „nichts unterschreiben“</t>
  </si>
  <si>
    <t xml:space="preserve">Widerspruch / Lösungsvorgabe</t>
  </si>
  <si>
    <t xml:space="preserve">Doppelmigration kostet Geld und Akzeptanz</t>
  </si>
  <si>
    <t xml:space="preserve">Keine isolierte Brücke. Wenn BC Gruppen-ERP wird, ist das DataSoft-Angebot ein möglicher Baustein des Gruppen-Rollouts (Template statt Insel) – sonst nur Notfall-Support verhandeln</t>
  </si>
  <si>
    <t xml:space="preserve">W-07</t>
  </si>
  <si>
    <t xml:space="preserve">Nutzerzahlen</t>
  </si>
  <si>
    <t xml:space="preserve">Projektauftrag Kap. 6: 180 Named User (Singen 140, Pilsen 35, CH 5)</t>
  </si>
  <si>
    <t xml:space="preserve">Int. 04 Brenner: 180 „gewürfelt“, 230 Personen / 140 gleichzeitig + 210 Shopfloor-Rückmelder; Int. 11: Pilsen heute 31, künftig ca. 50; IT-Architektur: KVA-WARE 150 Nutzer</t>
  </si>
  <si>
    <t xml:space="preserve">Lizenzkosten um bis zu 30 % falsch geschätzt; Shopfloor-Lizenzmodell entscheidend</t>
  </si>
  <si>
    <t xml:space="preserve">Planwert 230 Named User = 120 Voll + 110 Light, Pilsen inkl. Wachstum 50; Shopfloor über ca. 30 Geräte-/Terminal-Lizenzen; im RFP Lizenzmodell für alle 3 Nutzerarten abfragen</t>
  </si>
  <si>
    <t xml:space="preserve">Projekt</t>
  </si>
  <si>
    <t xml:space="preserve">mittel</t>
  </si>
  <si>
    <t xml:space="preserve">W-08</t>
  </si>
  <si>
    <t xml:space="preserve">Betriebsmodell</t>
  </si>
  <si>
    <t xml:space="preserve">Int. 03 Haller: „Ganz klar SaaS“; Int. 01 Kessler: Cloud „selbstverständlich“; Int. 11 Pilsen: Cloud (keine IT)</t>
  </si>
  <si>
    <t xml:space="preserve">Int. 04 Brenner: Private Cloud DE oder On-Prem, „gegen Cloud ohne Plan B“; Int. 02 Vogt: „Cloud ist Miete auf Lebenszeit“, Kauflizenz</t>
  </si>
  <si>
    <t xml:space="preserve">Würde als K.o. die Hälfte des Marktes ausschließen</t>
  </si>
  <si>
    <t xml:space="preserve">Kein K.o. (Kick-off/LK-Beschluss). Bewertungskriterium „SaaS mit Plan B“: EU-Datenhaltung, Exit-Klausel, Wechselmöglichkeit Hosting/On-Prem, Offline-Puffer, 2. Internetleitung (18 T€/J.)</t>
  </si>
  <si>
    <t xml:space="preserve">W-09</t>
  </si>
  <si>
    <t xml:space="preserve">Offline-Fähigkeit Produktion</t>
  </si>
  <si>
    <t xml:space="preserve">Int. 02 Vogt / Kick-off: „Produktion muss laufen, wenn das Internet weg ist“; Int. 08: Versand stand 2× still</t>
  </si>
  <si>
    <t xml:space="preserve">Helpdesk T25-0322: bei Internetausfall 5,5 h lief KVA-WARE weiter, nur Versand (Access) und Salesforce nicht – Problem ist die fehlende Leitungsredundanz (IT-Architektur: LTE-Backup instabil)</t>
  </si>
  <si>
    <t xml:space="preserve">Lösungsvorgabe</t>
  </si>
  <si>
    <t xml:space="preserve">„Lokal installiert“ ist eine Lösung, nicht die Anforderung</t>
  </si>
  <si>
    <t xml:space="preserve">Anforderung umformulieren: „Rückmeldung, Kommissionierung und Versand ≥ 8 h ohne Internet weiterführbar (Puffer/Sync) ODER redundante Anbindung mit SLA ≥ 99,9 %“</t>
  </si>
  <si>
    <t xml:space="preserve">W-10</t>
  </si>
  <si>
    <t xml:space="preserve">Seriennummern</t>
  </si>
  <si>
    <t xml:space="preserve">Lastenheft 2015: „wird nicht benötigt“ (Vogt); Int. 02 Vogt: für Standard „Bürokratie“; Int. 08 Hummel: nur Sonderantriebe, „nicht abtippen“</t>
  </si>
  <si>
    <t xml:space="preserve">Int. 09 Seitz: MUSS für alle Antriebe (Installed Base, Wartungsverträge 41→300); Int. 10 Rieger: MUSS (Bahn, Wehrtechnik, Rückruf 2024 = 180 T€)</t>
  </si>
  <si>
    <t xml:space="preserve">Ohne Seriennummer keine Service-Strategie 2030 (Wachstumstreiber); 2016 wurde genau diese Entscheidung revidiert</t>
  </si>
  <si>
    <t xml:space="preserve">Seriennummer für ALLE Antriebe – automatisch vergeben beim FA-Abschluss / Typenschilddruck (Fertigungsnummer = Seriennummer), Erfassung per Scan → kein Mehraufwand im Lager. Entscheidung schriftlich durch GF, nicht revidierbar ohne LK</t>
  </si>
  <si>
    <t xml:space="preserve">W-11</t>
  </si>
  <si>
    <t xml:space="preserve">Chargenverfolgung</t>
  </si>
  <si>
    <t xml:space="preserve">Int. 10 Rieger: Chargen Guss/Härten/Wälzlager MUSS; Lastenheft 2015 Nr. 3.04</t>
  </si>
  <si>
    <t xml:space="preserve">Int. 08 Hummel: „Wer schreibt da die Charge auf?“ – im Lager heute keine Chargen, keine Scanner</t>
  </si>
  <si>
    <t xml:space="preserve">Zielkonflikt</t>
  </si>
  <si>
    <t xml:space="preserve">Rückverfolgbarkeit scheitert sonst an der Erfassung</t>
  </si>
  <si>
    <t xml:space="preserve">Chargen nur bei definierten Teilegruppen (Guss, Härtecharge, kritische Kaufteile), Erfassung per Scanner im WE und automatisch über Ofenbeleg/Rückmeldung</t>
  </si>
  <si>
    <t xml:space="preserve">W-12</t>
  </si>
  <si>
    <t xml:space="preserve">CRM / Salesforce</t>
  </si>
  <si>
    <t xml:space="preserve">Int. 01 Kessler: „Ein System“, Salesforce ins ERP; Anforderung A-008/V-012 „CRM im ERP“ MUSS</t>
  </si>
  <si>
    <t xml:space="preserve">Int. 05 / Mail Moser 26.01.: „Salesforce bleibt. Punkt.“; Petersen: egal, Hauptsache eine Erfassung; Brenner: ablösen oder sauber integrieren</t>
  </si>
  <si>
    <t xml:space="preserve">Vertrag Salesforce endet 03/2027 – Entscheidungsdruck</t>
  </si>
  <si>
    <t xml:space="preserve">Phase 1: Salesforce um 1 Jahr (ohne Mehrkosten) bis 03/2028 verlängern und bidirektional integrieren (Liefertermin, OP, Preise). CRM-Entscheidung 2028 auf Basis des ERP-CRM (GF-Mail 27.01.: beide Varianten bewerten)</t>
  </si>
  <si>
    <t xml:space="preserve">W-13</t>
  </si>
  <si>
    <t xml:space="preserve">Ansicht „wie F12“</t>
  </si>
  <si>
    <t xml:space="preserve">Flipchart 2 / Int. 02 Vogt / Lastenheft 3.03: Leitstand „wie KVA-WARE Maske F12“ (MUSS!!!)</t>
  </si>
  <si>
    <t xml:space="preserve">Projektauftrag: „so viel Standard wie möglich“; Int. 06 Lang: „Es muss nicht gleich aussehen, es muss gleich schnell sein.“</t>
  </si>
  <si>
    <t xml:space="preserve">Nachbau alter Masken = Individualentwicklung (Fehler 2016)</t>
  </si>
  <si>
    <t xml:space="preserve">Umformuliert: „Arbeitsplatzbezogene Auftragsübersicht mit Ampel, Materialverfügbarkeit, nächstem Arbeitsgang auf einem Bildschirm, Antwortzeit &lt; 2 s“ – in Drehbuch-Demo von Meistern bewerten lassen</t>
  </si>
  <si>
    <t xml:space="preserve">W-14</t>
  </si>
  <si>
    <t xml:space="preserve">340 Listen</t>
  </si>
  <si>
    <t xml:space="preserve">Lastenheft 2015 Kap. 5 / A-010: alle 340 Auswertungen als Abnahmekriterium</t>
  </si>
  <si>
    <t xml:space="preserve">Int. 04 Brugger: ca. 40 regelmäßig genutzt; IT-Historie: 2016 „nicht erfüllbar“</t>
  </si>
  <si>
    <t xml:space="preserve">veraltet</t>
  </si>
  <si>
    <t xml:space="preserve">Unerfüllbares Abnahmekriterium war Mitursache des Scheiterns 2016</t>
  </si>
  <si>
    <t xml:space="preserve">Brugger-Nutzungsstatistik jetzt anfordern; Top-40 als Muss (Standard oder Power BI), Rest entfällt</t>
  </si>
  <si>
    <t xml:space="preserve">W-15</t>
  </si>
  <si>
    <t xml:space="preserve">Historische Daten</t>
  </si>
  <si>
    <t xml:space="preserve">A-009 / Vertrieb mündl.: 10 Jahre Historie im neuen System (MUSS)</t>
  </si>
  <si>
    <t xml:space="preserve">Int. 04 Brenner: Archivlösung statt Migration</t>
  </si>
  <si>
    <t xml:space="preserve">Migration von 10 J. Altdaten (schlechte Qualität) treibt Aufwand</t>
  </si>
  <si>
    <t xml:space="preserve">Offene Posten/Aufträge/Bestände + 2 Jahre Bewegungsdaten migrieren; Rest als recherchierbares Archiv (ELO/Datenablage, Power BI)</t>
  </si>
  <si>
    <t xml:space="preserve">W-16</t>
  </si>
  <si>
    <t xml:space="preserve">Rückmeldung personenbezogen</t>
  </si>
  <si>
    <t xml:space="preserve">P-010 / Int. 03 Arnold: Personalnummer je Arbeitsgang für Ist-Lohnkosten</t>
  </si>
  <si>
    <t xml:space="preserve">Int. 12 / BR-Schreiben 09.02.: keine Leistungskontrolle, BR stimmt Rückmeldung je Personalnummer nicht zu (§ 87 Abs. 1 Nr. 6 BetrVG); Int. 06 Lang: „Arbeitsplatz reicht“</t>
  </si>
  <si>
    <t xml:space="preserve">Ohne BR-Zustimmung kein Go-live (Einigungsstelle wie BDE 2012)</t>
  </si>
  <si>
    <t xml:space="preserve">Rückmeldung arbeitsplatz-/gruppenbezogen; Ist-Kosten über Lohngruppen-Mischsätze je Kostenstelle; Auswertungen erst ab 5 Personen – in Rahmen-BV regeln</t>
  </si>
  <si>
    <t xml:space="preserve">GF / BR</t>
  </si>
  <si>
    <t xml:space="preserve">W-17</t>
  </si>
  <si>
    <t xml:space="preserve">Rahmen-Betriebsvereinbarung</t>
  </si>
  <si>
    <t xml:space="preserve">BR-Schreiben 09.02. / Int. 12: Rahmen-BV IT vor Vertragsabschluss, Entwurf bis Juni 2026</t>
  </si>
  <si>
    <t xml:space="preserve">Status Entwurf unbekannt (kein Dokument im Fallpaket); Vertragsziel lt. Projektauftrag 30.09.2026</t>
  </si>
  <si>
    <t xml:space="preserve">Lücke</t>
  </si>
  <si>
    <t xml:space="preserve">Vertragsunterschrift blockiert, wenn BV fehlt</t>
  </si>
  <si>
    <t xml:space="preserve">Status klären (Rückfrage GF); BV-Entwurf parallel zur RFP-Phase, 2 BR-Mitglieder in Drehbuch-Demos</t>
  </si>
  <si>
    <t xml:space="preserve">W-18</t>
  </si>
  <si>
    <t xml:space="preserve">Modernisierung KVA-WARE</t>
  </si>
  <si>
    <t xml:space="preserve">Int. 02 / Mail Vogt 20.01.: RPG→Java-Migration für 300–400 T€; „Von Standard-ERP stand nichts im Protokoll“</t>
  </si>
  <si>
    <t xml:space="preserve">Beiratsprotokoll Q3/2025: Beschluss = Abhängigkeit lösen + zukunftsfähiges ERP, ≥ 3 Alternativen; „Standard-ERP“ nur in der Diskussion; Kessler: keine Option</t>
  </si>
  <si>
    <t xml:space="preserve">Vogt hat Projektauftrag nicht unterschrieben – Akzeptanzrisiko</t>
  </si>
  <si>
    <t xml:space="preserve">Modernisierung als „Option 0“ transparent bewerten (scheitert an 5 von 8 K.o.-Kriterien: Konfigurator, Mandanten, Lokalisierung CZ, Serien/Chargen, Partner) – so wird Vogt mitgenommen, statt übergangen</t>
  </si>
  <si>
    <t xml:space="preserve">W-19</t>
  </si>
  <si>
    <t xml:space="preserve">Umsatz</t>
  </si>
  <si>
    <t xml:space="preserve">Unternehmensprofil / Folien: 86,4 Mio. € (Summe Einzelabschlüsse)</t>
  </si>
  <si>
    <t xml:space="preserve">Controlling 2025: 82,7 Mio. € konsolidiert (ohne CH, nach IC-Eliminierung)</t>
  </si>
  <si>
    <t xml:space="preserve">Zahl uneinheitlich</t>
  </si>
  <si>
    <t xml:space="preserve">Kennzahlen (IT-Kosten in % Umsatz) je nach Basis verschieden</t>
  </si>
  <si>
    <t xml:space="preserve">Für Business Case konsolidierten Wert 82,7 Mio. € nutzen; Profil korrigieren</t>
  </si>
  <si>
    <t xml:space="preserve">niedrig</t>
  </si>
  <si>
    <t xml:space="preserve">W-20</t>
  </si>
  <si>
    <t xml:space="preserve">Liefertermintreue</t>
  </si>
  <si>
    <t xml:space="preserve">Controlling / Folien: 71 % (gegen letzten bestätigten Termin)</t>
  </si>
  <si>
    <t xml:space="preserve">Controlling-Anm.: 58 % gegen ersten bestätigten Termin; Int. 05 Moser: „gefühlt 60“</t>
  </si>
  <si>
    <t xml:space="preserve">Definition unklar</t>
  </si>
  <si>
    <t xml:space="preserve">Ziel &gt; 92 % hängt an Messmethode</t>
  </si>
  <si>
    <t xml:space="preserve">KPI künftig gegen ersten bestätigten Termin messen (Kundensicht); Ausgangswert 58 %</t>
  </si>
  <si>
    <t xml:space="preserve">W-21</t>
  </si>
  <si>
    <t xml:space="preserve">Umsatzanteile Geschäftsmodelle</t>
  </si>
  <si>
    <t xml:space="preserve">Unternehmensprofil: 60/25/15 %</t>
  </si>
  <si>
    <t xml:space="preserve">Prozess O2C: A 55 %, B 25 %, C 8 %, D 12 % (Rahmenaufträge im Profil in „Standard“ enthalten)</t>
  </si>
  <si>
    <t xml:space="preserve">Definition</t>
  </si>
  <si>
    <t xml:space="preserve">Gewichtung CTO vs. Service in Bewertung</t>
  </si>
  <si>
    <t xml:space="preserve">Gewichtung nach Profil (CTO ~60 %), Rahmenaufträge/EDI als eigene Anforderung (V-013)</t>
  </si>
  <si>
    <t xml:space="preserve">W-22</t>
  </si>
  <si>
    <t xml:space="preserve">Sonderantriebe: Mengen</t>
  </si>
  <si>
    <t xml:space="preserve">Prozess O2C: 380 Kundenaufträge Sonderantriebe p. a.</t>
  </si>
  <si>
    <t xml:space="preserve">Controlling: 94 abgeschlossene Projekte 2025, davon nur 31 nachkalkuliert (13 negativ)</t>
  </si>
  <si>
    <t xml:space="preserve">Mengengerüst Projektmodul</t>
  </si>
  <si>
    <t xml:space="preserve">Annahme: 380 Aufträge ≈ ~100 Projekte mit mehreren Aufträgen/Positionen – im Labor nachfragen</t>
  </si>
  <si>
    <t xml:space="preserve">W-23</t>
  </si>
  <si>
    <t xml:space="preserve">Fertigungsaufträge Singen</t>
  </si>
  <si>
    <t xml:space="preserve">Prozess Plan-to-Produce: 16.000 FA p. a.</t>
  </si>
  <si>
    <t xml:space="preserve">Int. 06 Wiedmann: 14.500 („ob man Nacharbeit mitzählt“)</t>
  </si>
  <si>
    <t xml:space="preserve">gering</t>
  </si>
  <si>
    <t xml:space="preserve">Planwert 16.000 inkl. Nacharbeit (konservativ)</t>
  </si>
  <si>
    <t xml:space="preserve">W-24</t>
  </si>
  <si>
    <t xml:space="preserve">Getriebe p. a.</t>
  </si>
  <si>
    <t xml:space="preserve">Int. 08 Hummel: 30.000 Standardgetriebe/Jahr</t>
  </si>
  <si>
    <t xml:space="preserve">Anm. Hartmann / Produktion: ca. 22.000</t>
  </si>
  <si>
    <t xml:space="preserve">Seriennummern-Volumen</t>
  </si>
  <si>
    <t xml:space="preserve">Planwert 22.000 (Produktion); Volumen ist für jedes ERP unkritisch</t>
  </si>
  <si>
    <t xml:space="preserve">W-25</t>
  </si>
  <si>
    <t xml:space="preserve">Artikel / Mengengerüst 2015</t>
  </si>
  <si>
    <t xml:space="preserve">Lastenheft 2015: 31.000 Artikel, 220 MA, 95 Anwender, Pilsen 25 MA ohne ERP</t>
  </si>
  <si>
    <t xml:space="preserve">Int. 04 2026: 52.000 aktiv / 118.000 gesamt, 420 MA, 230 Anwender, Pilsen 118 MA</t>
  </si>
  <si>
    <t xml:space="preserve">Lastenheft 2015 nicht als Basis nutzbar</t>
  </si>
  <si>
    <t xml:space="preserve">Lastenheft 2015 nur für fachliche Ideen (Phantombaugruppen, Meilensteinfaktura); alle Zahlen aus 2026</t>
  </si>
  <si>
    <t xml:space="preserve">W-26</t>
  </si>
  <si>
    <t xml:space="preserve">Lagerplätze</t>
  </si>
  <si>
    <t xml:space="preserve">Prozess Lager: 4.800 Plätze</t>
  </si>
  <si>
    <t xml:space="preserve">Int. 08 Hummel: „eher 5.200 seit Umbau Halle 2“</t>
  </si>
  <si>
    <t xml:space="preserve">Zahl veraltet</t>
  </si>
  <si>
    <t xml:space="preserve">Lagerplatzanlage bei Migration</t>
  </si>
  <si>
    <t xml:space="preserve">Lagerplatz-Inventur als Vorprojekt (Stammdatenbereinigung)</t>
  </si>
  <si>
    <t xml:space="preserve">W-27</t>
  </si>
  <si>
    <t xml:space="preserve">Sprachen Oberfläche</t>
  </si>
  <si>
    <t xml:space="preserve">Kick-off / A-003-Kommentar Brenner: „EN reicht für CZ“</t>
  </si>
  <si>
    <t xml:space="preserve">Int. 11 Nováková: Operatoren sprechen weder DE noch ausreichend EN → CZ-Oberfläche Pflicht; Int. 08: Lager-Kollegen Rumänisch/Türkisch</t>
  </si>
  <si>
    <t xml:space="preserve">Akzeptanz Shopfloor Pilsen</t>
  </si>
  <si>
    <t xml:space="preserve">CZ-Oberfläche K.o. (Teil K4); RO/TR nur Kann (Shopfloor-Apps mit Piktogrammen)</t>
  </si>
  <si>
    <t xml:space="preserve">W-28</t>
  </si>
  <si>
    <t xml:space="preserve">Belegsprachen</t>
  </si>
  <si>
    <t xml:space="preserve">Projektauftrag: DE, EN, CZ</t>
  </si>
  <si>
    <t xml:space="preserve">Int. 05 Petersen: zusätzlich FR, IT (Italien wichtiger Markt); heute Umlaut-Fehler in EN-AB</t>
  </si>
  <si>
    <t xml:space="preserve">gering – Standardfunktion</t>
  </si>
  <si>
    <t xml:space="preserve">Belege DE/EN/CZ Muss, FR/IT Kann</t>
  </si>
  <si>
    <t xml:space="preserve">W-29</t>
  </si>
  <si>
    <t xml:space="preserve">Konfigurator offline/iPad/3D</t>
  </si>
  <si>
    <t xml:space="preserve">Int. 05 Moser: MUSS beim Kunden auf iPad, offline, mit 3D</t>
  </si>
  <si>
    <t xml:space="preserve">3D-Daten liegen in CAD/PDM (Hinweis Interviewerin); Konfigurator-Konzept war 2016 Hauptursache des Scheiterns</t>
  </si>
  <si>
    <t xml:space="preserve">Lösungsvorgabe / Präferenz</t>
  </si>
  <si>
    <t xml:space="preserve">Verkompliziert K.o.-Kriterium Konfigurator</t>
  </si>
  <si>
    <t xml:space="preserve">Muss: ein integriertes Regelwerk, im Web/Salesforce für Außendienst nutzbar. Offline + 3D = Kann / Phase 2</t>
  </si>
  <si>
    <t xml:space="preserve">W-30</t>
  </si>
  <si>
    <t xml:space="preserve">Feinplanung APS</t>
  </si>
  <si>
    <t xml:space="preserve">Int. 06 Lang / Flipchart 2: APS mit Kapazitätsgrenzen MUSS</t>
  </si>
  <si>
    <t xml:space="preserve">Int. 06 Wiedmann: „erst saubere Grundlagen“ (Stücklisten, Arbeitspläne)</t>
  </si>
  <si>
    <t xml:space="preserve">Phase-1-Scope</t>
  </si>
  <si>
    <t xml:space="preserve">Phase 1: Engpassplanung Härterei/Verzahnung (finite, Ofenchargen) + Grobkapazität; volles APS (Drag &amp; Drop, Simulation) Phase 2</t>
  </si>
  <si>
    <t xml:space="preserve">W-31</t>
  </si>
  <si>
    <t xml:space="preserve">Instandhaltung / Werkzeug</t>
  </si>
  <si>
    <t xml:space="preserve">Int. 06 Wiedmann: Instandhaltung 45 Maschinen + Werkzeugverwaltung MUSS</t>
  </si>
  <si>
    <t xml:space="preserve">Flipchart 3 / Vogt Mail: Instandhaltung „später“; Lang: Werkzeug „Kann“</t>
  </si>
  <si>
    <t xml:space="preserve">Scope</t>
  </si>
  <si>
    <t xml:space="preserve">Phase 2; Modul-Verfügbarkeit fließt in Bewertung ein (kein Drittsystem nötig)</t>
  </si>
  <si>
    <t xml:space="preserve">W-32</t>
  </si>
  <si>
    <t xml:space="preserve">MES ja/nein</t>
  </si>
  <si>
    <t xml:space="preserve">Int. 06 Wiedmann: ERP mit guter Fertigungskomponente</t>
  </si>
  <si>
    <t xml:space="preserve">Int. 06 Lang: spezialisiertes MES/APS + ERP; Flipchart 3: „wer entscheidet?“</t>
  </si>
  <si>
    <t xml:space="preserve">offene Frage</t>
  </si>
  <si>
    <t xml:space="preserve">Architektur &amp; BDE-Ersatz</t>
  </si>
  <si>
    <t xml:space="preserve">Kein separates MES in Phase 1; BDE-Ersatz (Terminals 2012) über ERP-Shopfloor-App/Tablets; MDE/OPC UA Phase 2</t>
  </si>
  <si>
    <t xml:space="preserve">W-33</t>
  </si>
  <si>
    <t xml:space="preserve">BDE-Terminals</t>
  </si>
  <si>
    <t xml:space="preserve">Int. 06: Ersatz „bis spätestens 2027, egal wie“; Helpdesk T25-0412: Ersatzteil über eBay</t>
  </si>
  <si>
    <t xml:space="preserve">Go-live Singen frühestens 2028</t>
  </si>
  <si>
    <t xml:space="preserve">Terminkonflikt</t>
  </si>
  <si>
    <t xml:space="preserve">Ausfall Rückmeldung vor Go-live</t>
  </si>
  <si>
    <t xml:space="preserve">Sofortmaßnahme: Ersatzteil-/Gebrauchtgeräte-Pool sichern; neue Hardware (Tablets/Scanner) so wählen, dass sie im Ziel-ERP weiterverwendet wird</t>
  </si>
  <si>
    <t xml:space="preserve">W-34</t>
  </si>
  <si>
    <t xml:space="preserve">E-Rechnung Versand</t>
  </si>
  <si>
    <t xml:space="preserve">IT-Architektur Kap. 5: Versandpflicht „ab 2027/2028 noch offen“</t>
  </si>
  <si>
    <t xml:space="preserve">Rechtslage: Versandpflicht ab 01.01.2027 für Unternehmen mit Vorjahresumsatz &gt; 800 T€ (KVA betroffen); EDI bis Ende 2027 zulässig</t>
  </si>
  <si>
    <t xml:space="preserve">Lücke / falsche Annahme</t>
  </si>
  <si>
    <t xml:space="preserve">Pflichtverletzung 12 Monate VOR Go-live</t>
  </si>
  <si>
    <t xml:space="preserve">Sofortmaßnahme Q4/2026: ZUGFeRD/XRechnung-Konverter auf KVA-WARE-Druckausgabe (Dienstleister/ELO); nicht auf Go-live warten</t>
  </si>
  <si>
    <t xml:space="preserve">W-35</t>
  </si>
  <si>
    <t xml:space="preserve">NIS2</t>
  </si>
  <si>
    <t xml:space="preserve">IT-Architektur Kap. 5: Betroffenheit „wahrscheinlich ja, über Kunden“</t>
  </si>
  <si>
    <t xml:space="preserve">NIS2UmsuCG in Kraft seit 06.12.2025; Herstellung von Maschinen/Getrieben (Sektor verarb. Gewerbe) mit ≥ 250 MA → voraussichtlich DIREKT „wichtige Einrichtung“, Registrierungspflicht</t>
  </si>
  <si>
    <t xml:space="preserve">Lücke / Annahme</t>
  </si>
  <si>
    <t xml:space="preserve">Security-Anforderungen an ERP-Betrieb (ISMS, Lieferkette)</t>
  </si>
  <si>
    <t xml:space="preserve">Betroffenheit juristisch prüfen (Annahme: betroffen); Anbieter-Nachweise ISO 27001 / BSI C5 im RFP; T-009 auf Muss</t>
  </si>
  <si>
    <t xml:space="preserve">W-36</t>
  </si>
  <si>
    <t xml:space="preserve">Wehrtechnik / Datenhaltung</t>
  </si>
  <si>
    <t xml:space="preserve">Int. 02 Vogt: „Wenn unsere Daten bei Amazon liegen, haben wir ein Problem“ (kein Dokument); Brenner: CLOUD Act</t>
  </si>
  <si>
    <t xml:space="preserve">Mail Brenner 21.01.: Kunde hat aktuell KEINE Vorgabe, evtl. ab 2027; Haller: VS-NfD-Zeichnungen liegen nicht im ERP</t>
  </si>
  <si>
    <t xml:space="preserve">unbelegte Annahme</t>
  </si>
  <si>
    <t xml:space="preserve">Würde SaaS US-Anbieter ausschließen</t>
  </si>
  <si>
    <t xml:space="preserve">Als „mögliche künftige Anforderung“ führen: Option Datenhaltung DE / Betrieb DE-Personal im RFP abfragen; VS-NfD bleibt außerhalb ERP</t>
  </si>
  <si>
    <t xml:space="preserve">W-37</t>
  </si>
  <si>
    <t xml:space="preserve">Exportkontrolle</t>
  </si>
  <si>
    <t xml:space="preserve">Int. 05: Haftung, Ausfuhrverantwortliche ist Dr. Kessler; Prüfung manuell in Excel</t>
  </si>
  <si>
    <t xml:space="preserve">Int. 10 Rieger: kein benannter Exportkontrollbeauftragter außer GF</t>
  </si>
  <si>
    <t xml:space="preserve">Lücke (organisatorisch)</t>
  </si>
  <si>
    <t xml:space="preserve">Compliance-Risiko unabhängig vom ERP</t>
  </si>
  <si>
    <t xml:space="preserve">GF benennt Exportkontrollbeauftragten; ERP muss Sanktionslisten-/Güterlistenprüfung mit Sperre (V-007)</t>
  </si>
  <si>
    <t xml:space="preserve">W-38</t>
  </si>
  <si>
    <t xml:space="preserve">Lessons Learned 2016</t>
  </si>
  <si>
    <t xml:space="preserve">Kick-off TOP 2: Lessons Learned separat aufarbeiten</t>
  </si>
  <si>
    <t xml:space="preserve">Stand 02/2026: nicht erfolgt; Schuldfrage strittig (Vogt: Berater; Lang/IT: keine Zeit, keine Entscheidungen)</t>
  </si>
  <si>
    <t xml:space="preserve">Wiederholungsrisiko</t>
  </si>
  <si>
    <t xml:space="preserve">Ursachen aus IT-Historie in Risikoliste übernehmen (Konfigurator-Konzept, Key User, Stammdaten, Revisionen, Abnahmekriterium); Entscheidungsregel: Revision nur per LK-Beschluss</t>
  </si>
  <si>
    <t xml:space="preserve">W-39</t>
  </si>
  <si>
    <t xml:space="preserve">Projektauftrag nicht unterschrieben</t>
  </si>
  <si>
    <t xml:space="preserve">Projektauftrag v1.2: „freigegeben durch GF“</t>
  </si>
  <si>
    <t xml:space="preserve">Unterschrift Vogt fehlt („wenn ich sehe, dass die Auswahl ordentlich gemacht wird“)</t>
  </si>
  <si>
    <t xml:space="preserve">Lücke (Governance)</t>
  </si>
  <si>
    <t xml:space="preserve">GF Technik nicht committed – Hauptrisiko 2016</t>
  </si>
  <si>
    <t xml:space="preserve">Vogt in Drehbuch-Demos/Bewertung aktiv einbinden; Unterschrift als Meilenstein vor RFP</t>
  </si>
  <si>
    <t xml:space="preserve">W-40</t>
  </si>
  <si>
    <t xml:space="preserve">CH-Gesellschaft</t>
  </si>
  <si>
    <t xml:space="preserve">Projektauftrag: KVA Antriebe AG Phase 2</t>
  </si>
  <si>
    <t xml:space="preserve">Int. 03 Haller: Konsolidierung ab Go-live; Int. 09: 2 CH-Servicetechniker arbeiten separat (Bexio)</t>
  </si>
  <si>
    <t xml:space="preserve">Konsolidierungsziel 5 AT</t>
  </si>
  <si>
    <t xml:space="preserve">CH finanziell + Service in Phase 1b mit Singen (kleiner Scope, 6 MA)</t>
  </si>
  <si>
    <t xml:space="preserve">W-41</t>
  </si>
  <si>
    <t xml:space="preserve">Hardware-Leasing / Infrastruktur</t>
  </si>
  <si>
    <t xml:space="preserve">IT-Architektur: IBM Power9 Leasing bis 06/2029</t>
  </si>
  <si>
    <t xml:space="preserve">Go-live 2028 → 12–18 Monate Doppelkosten; VMware vSphere 7 ohne Support</t>
  </si>
  <si>
    <t xml:space="preserve">TCO / On-Prem-Option</t>
  </si>
  <si>
    <t xml:space="preserve">Leasing-Restlaufzeit im Business Case berücksichtigen (Nur-Lese-Betrieb Archiv bis 2029); On-Prem-Variante bräuchte neue Infrastruktur</t>
  </si>
  <si>
    <t xml:space="preserve">W-42</t>
  </si>
  <si>
    <t xml:space="preserve">IT-Kapazität</t>
  </si>
  <si>
    <t xml:space="preserve">Organigramm: IT 5 FTE inkl. Brugger</t>
  </si>
  <si>
    <t xml:space="preserve">IT-Architektur: Brenner, Brugger, Ott, Maier (60 %), Azubi; Brenner: max. 1,5 FTE fürs Projekt</t>
  </si>
  <si>
    <t xml:space="preserve">Eigenleistung IT überschätzt</t>
  </si>
  <si>
    <t xml:space="preserve">Partner-Leistung (Betrieb/AMS) einplanen; IT-Projektrolle 1,5 FTE fest</t>
  </si>
  <si>
    <t xml:space="preserve">K.o.-Kriterium</t>
  </si>
  <si>
    <t xml:space="preserve">Bezug Anforderungen</t>
  </si>
  <si>
    <t xml:space="preserve">Prüfmethode</t>
  </si>
  <si>
    <t xml:space="preserve">K1</t>
  </si>
  <si>
    <t xml:space="preserve">Integrierte, regelbasierte Variantenkonfiguration</t>
  </si>
  <si>
    <t xml:space="preserve">Merkmale/Regeln/Preisfindung, automatische Fertigungsstückliste + Arbeitsplan für den Baukasten (2,3 Mio. Varianten); ein Datensatz Angebot → Rechnung</t>
  </si>
  <si>
    <t xml:space="preserve">V-001, P-001, V-015</t>
  </si>
  <si>
    <t xml:space="preserve">Drehbuch-Demo + PoC mit 3 realen KVA-Typenschlüsseln</t>
  </si>
  <si>
    <t xml:space="preserve">K2</t>
  </si>
  <si>
    <t xml:space="preserve">Projektfertigung Engineer-to-Order</t>
  </si>
  <si>
    <t xml:space="preserve">Projektstruktur, Meilenstein-/Anzahlungsfaktura, Ist-Kosten auf Projekt (Nachkalkulation)</t>
  </si>
  <si>
    <t xml:space="preserve">V-006, F-009</t>
  </si>
  <si>
    <t xml:space="preserve">Demo: Sonderantrieb mit Anzahlung 30/60/10</t>
  </si>
  <si>
    <t xml:space="preserve">K3</t>
  </si>
  <si>
    <t xml:space="preserve">Mehrere Gesellschaften &amp; Währungen in einem System</t>
  </si>
  <si>
    <t xml:space="preserve">DE/CZ/CH, automatische Intercompany-Belege, EUR/CZK/CHF/USD</t>
  </si>
  <si>
    <t xml:space="preserve">A-005, F-002, F-005, L-007</t>
  </si>
  <si>
    <t xml:space="preserve">Demo: Lieferung Pilsen → Singen</t>
  </si>
  <si>
    <t xml:space="preserve">K4</t>
  </si>
  <si>
    <t xml:space="preserve">Lokalisierung DE/CZ/CH durch Hersteller oder zertifizierten Partner</t>
  </si>
  <si>
    <t xml:space="preserve">GoBD, E-Rechnung XRechnung/ZUGFeRD; CZ: kontrolní hlášení, Intrastat, CZ-Bilanzierung; CH: MWST, QR-Rechnung; Oberfläche + Belege DE/EN/CZ</t>
  </si>
  <si>
    <t xml:space="preserve">F-003, F-004, F-006, F-007, A-003</t>
  </si>
  <si>
    <t xml:space="preserve">Nachweis Lokalisierungspaket + Referenzkunde CZ</t>
  </si>
  <si>
    <t xml:space="preserve">K5</t>
  </si>
  <si>
    <t xml:space="preserve">Durchgängige Serien- und Chargenverfolgung</t>
  </si>
  <si>
    <t xml:space="preserve">Seriennummer für alle Antriebe, Chargen Guss/Härten/Wälzlager, vorwärts/rückwärts</t>
  </si>
  <si>
    <t xml:space="preserve">S-001, Q-001, Q-002</t>
  </si>
  <si>
    <t xml:space="preserve">Demo: Rückruf-Szenario Gusscharge</t>
  </si>
  <si>
    <t xml:space="preserve">K6</t>
  </si>
  <si>
    <t xml:space="preserve">Implementierungspartner in DE UND CZ</t>
  </si>
  <si>
    <t xml:space="preserve">Referenzen Variantenfertigung, tschechischsprachige Berater, Kapazität ab Q1/2027</t>
  </si>
  <si>
    <t xml:space="preserve">T-010</t>
  </si>
  <si>
    <t xml:space="preserve">Referenzbesuch + Teamaufstellung im Angebot</t>
  </si>
  <si>
    <t xml:space="preserve">K7</t>
  </si>
  <si>
    <t xml:space="preserve">Datenverarbeitung in der EU, transparent</t>
  </si>
  <si>
    <t xml:space="preserve">EU-Rechenzentrum, AVV, offengelegte Unterauftragsverarbeiter (BR-Forderung), Exit-/Datenrückgabe</t>
  </si>
  <si>
    <t xml:space="preserve">B-003, T-001, T-002</t>
  </si>
  <si>
    <t xml:space="preserve">Vertragsentwurf / AVV</t>
  </si>
  <si>
    <t xml:space="preserve">K8</t>
  </si>
  <si>
    <t xml:space="preserve">Offene Schnittstellen</t>
  </si>
  <si>
    <t xml:space="preserve">REST/OData für PDM (bidirektional), Salesforce, Power BI, EDI, Carrier</t>
  </si>
  <si>
    <t xml:space="preserve">T-004, F-013, P-002, V-008</t>
  </si>
  <si>
    <t xml:space="preserve">API-Dokumentation + Demo PDM-Stückliste</t>
  </si>
  <si>
    <t xml:space="preserve">Bereich</t>
  </si>
  <si>
    <t xml:space="preserve">Titel</t>
  </si>
  <si>
    <t xml:space="preserve">Beschreibung (Rohfassung)</t>
  </si>
  <si>
    <t xml:space="preserve">Prio Fachbereich (alt)</t>
  </si>
  <si>
    <t xml:space="preserve">Quelle</t>
  </si>
  <si>
    <t xml:space="preserve">Status alt</t>
  </si>
  <si>
    <t xml:space="preserve">Klassifizierung</t>
  </si>
  <si>
    <t xml:space="preserve">Prio konsolidiert</t>
  </si>
  <si>
    <t xml:space="preserve">Begründung / Präzisierung</t>
  </si>
  <si>
    <t xml:space="preserve">Bezug Widerspruch</t>
  </si>
  <si>
    <t xml:space="preserve">A-001</t>
  </si>
  <si>
    <t xml:space="preserve">Allgemein</t>
  </si>
  <si>
    <t xml:space="preserve">Standardsoftware</t>
  </si>
  <si>
    <t xml:space="preserve">Das System muss eine Standardsoftware sein, Anpassungen nur in Ausnahmefällen.</t>
  </si>
  <si>
    <t xml:space="preserve">MUSS</t>
  </si>
  <si>
    <t xml:space="preserve">Projektauftrag</t>
  </si>
  <si>
    <t xml:space="preserve">abgestimmt</t>
  </si>
  <si>
    <t xml:space="preserve">Rahmenbedingung</t>
  </si>
  <si>
    <t xml:space="preserve">Muss</t>
  </si>
  <si>
    <t xml:space="preserve">Leitprinzip; operationalisiert als Bewertung „Abdeckung im Standard“</t>
  </si>
  <si>
    <t xml:space="preserve">A-002</t>
  </si>
  <si>
    <t xml:space="preserve">Benutzerfreundlichkeit</t>
  </si>
  <si>
    <t xml:space="preserve">Das System muss benutzerfreundlich und intuitiv sein.</t>
  </si>
  <si>
    <t xml:space="preserve">Kick-off</t>
  </si>
  <si>
    <t xml:space="preserve">offen</t>
  </si>
  <si>
    <t xml:space="preserve">nicht prüfbar → präzisiert</t>
  </si>
  <si>
    <t xml:space="preserve">Messbar: Usability-Test in Drehbuch-Demo mit Key Usern (Lager, Meister); Klickzahl Kernprozesse</t>
  </si>
  <si>
    <t xml:space="preserve">A-003</t>
  </si>
  <si>
    <t xml:space="preserve">Mehrsprachigkeit Oberfläche</t>
  </si>
  <si>
    <t xml:space="preserve">Oberfläche DE, EN, CZ.</t>
  </si>
  <si>
    <t xml:space="preserve">Anforderung</t>
  </si>
  <si>
    <t xml:space="preserve">K.o.</t>
  </si>
  <si>
    <t xml:space="preserve">Teil K4 – CZ-Oberfläche für Shopfloor Pilsen nötig</t>
  </si>
  <si>
    <t xml:space="preserve">A-004</t>
  </si>
  <si>
    <t xml:space="preserve">Mehrsprachigkeit Belege</t>
  </si>
  <si>
    <t xml:space="preserve">Belege DE, EN, CZ, FR, IT.</t>
  </si>
  <si>
    <t xml:space="preserve">Interview 05</t>
  </si>
  <si>
    <t xml:space="preserve">DE/EN/CZ Muss, FR/IT Kann</t>
  </si>
  <si>
    <t xml:space="preserve">A-005</t>
  </si>
  <si>
    <t xml:space="preserve">Mandantenfähigkeit</t>
  </si>
  <si>
    <t xml:space="preserve">3 Gesellschaften (DE, CZ, CH) in einem System.</t>
  </si>
  <si>
    <t xml:space="preserve">Interview 03</t>
  </si>
  <si>
    <t xml:space="preserve">A-006</t>
  </si>
  <si>
    <t xml:space="preserve">Mobile Nutzung</t>
  </si>
  <si>
    <t xml:space="preserve">Kennzahlen und Freigaben auf dem Smartphone.</t>
  </si>
  <si>
    <t xml:space="preserve">SOLL</t>
  </si>
  <si>
    <t xml:space="preserve">Interview 01</t>
  </si>
  <si>
    <t xml:space="preserve">Kann</t>
  </si>
  <si>
    <t xml:space="preserve">Mobile KPIs/Freigaben (z. B. Power BI App)</t>
  </si>
  <si>
    <t xml:space="preserve">A-007</t>
  </si>
  <si>
    <t xml:space="preserve">KI-Funktionen</t>
  </si>
  <si>
    <t xml:space="preserve">Integrierte KI, z. B. automatische Beantwortung von Kundenanfragen.</t>
  </si>
  <si>
    <t xml:space="preserve">KANN</t>
  </si>
  <si>
    <t xml:space="preserve">Präferenz</t>
  </si>
  <si>
    <t xml:space="preserve">Unkonkret; fließt nur als KI-Roadmap in „Zukunftsfähigkeit“ ein</t>
  </si>
  <si>
    <t xml:space="preserve">A-008</t>
  </si>
  <si>
    <t xml:space="preserve">Ein System für alles</t>
  </si>
  <si>
    <t xml:space="preserve">Alle Funktionen inkl. CRM in einem System.</t>
  </si>
  <si>
    <t xml:space="preserve">strittig</t>
  </si>
  <si>
    <t xml:space="preserve">gestrichen</t>
  </si>
  <si>
    <t xml:space="preserve">Ersetzt durch: integrierte Kernprozesse, jede Information nur einmal erfasst (V-011)</t>
  </si>
  <si>
    <t xml:space="preserve">A-009</t>
  </si>
  <si>
    <t xml:space="preserve">10 Jahre Historie im neuen System verfügbar.</t>
  </si>
  <si>
    <t xml:space="preserve">Vertrieb (mündl.)</t>
  </si>
  <si>
    <t xml:space="preserve">Muss (umformuliert)</t>
  </si>
  <si>
    <t xml:space="preserve">Offene Daten + 2 Jahre migrieren, Rest Archiv</t>
  </si>
  <si>
    <t xml:space="preserve">A-010</t>
  </si>
  <si>
    <t xml:space="preserve">Alle Listen KVA-WARE</t>
  </si>
  <si>
    <t xml:space="preserve">Alle bisherigen Auswertungen müssen verfügbar sein.</t>
  </si>
  <si>
    <t xml:space="preserve">Lastenheft 2015</t>
  </si>
  <si>
    <t xml:space="preserve">alt</t>
  </si>
  <si>
    <t xml:space="preserve">Ersetzt durch: Top-40-Listen lt. Nutzungsstatistik</t>
  </si>
  <si>
    <t xml:space="preserve">F-001</t>
  </si>
  <si>
    <t xml:space="preserve">Finanzen</t>
  </si>
  <si>
    <t xml:space="preserve">Hauptbuch im ERP</t>
  </si>
  <si>
    <t xml:space="preserve">Ablösung DATEV als Hauptbuch.</t>
  </si>
  <si>
    <t xml:space="preserve">F-002</t>
  </si>
  <si>
    <t xml:space="preserve">Konsolidierung</t>
  </si>
  <si>
    <t xml:space="preserve">Konzernkonsolidierung 3 Gesellschaften, IC-Eliminierung.</t>
  </si>
  <si>
    <t xml:space="preserve">Ab Go-live Singen inkl. Pilsen (Pilot) und CH (Phase 1b)</t>
  </si>
  <si>
    <t xml:space="preserve">W-05, W-40</t>
  </si>
  <si>
    <t xml:space="preserve">F-003</t>
  </si>
  <si>
    <t xml:space="preserve">E-Rechnung</t>
  </si>
  <si>
    <t xml:space="preserve">XRechnung/ZUGFeRD Ein- und Ausgang; CZ und CH lokal.</t>
  </si>
  <si>
    <t xml:space="preserve">gesetzlich</t>
  </si>
  <si>
    <t xml:space="preserve">K4; Versandpflicht DE ab 01.01.2027 → Interimslösung</t>
  </si>
  <si>
    <t xml:space="preserve">F-004</t>
  </si>
  <si>
    <t xml:space="preserve">GoBD</t>
  </si>
  <si>
    <t xml:space="preserve">GoBD-konforme Archivierung, Verfahrensdoku.</t>
  </si>
  <si>
    <t xml:space="preserve">Verfahrensdokumentation fehlt heute → Projektlieferobjekt</t>
  </si>
  <si>
    <t xml:space="preserve">F-005</t>
  </si>
  <si>
    <t xml:space="preserve">Mehrwährung</t>
  </si>
  <si>
    <t xml:space="preserve">EUR, CZK, CHF, USD</t>
  </si>
  <si>
    <t xml:space="preserve">F-006</t>
  </si>
  <si>
    <t xml:space="preserve">CZ-Lokalisierung</t>
  </si>
  <si>
    <t xml:space="preserve">kontrolní hlášení, Intrastat, CZ-Bilanzierung</t>
  </si>
  <si>
    <t xml:space="preserve">Interview 11</t>
  </si>
  <si>
    <t xml:space="preserve">F-007</t>
  </si>
  <si>
    <t xml:space="preserve">CH-Lokalisierung</t>
  </si>
  <si>
    <t xml:space="preserve">MWST, QR-Rechnung</t>
  </si>
  <si>
    <t xml:space="preserve">K4; CH Phase 1b</t>
  </si>
  <si>
    <t xml:space="preserve">F-008</t>
  </si>
  <si>
    <t xml:space="preserve">Rechnungseingangsworkflow</t>
  </si>
  <si>
    <t xml:space="preserve">Digitaler Eingang, Freigabe 4-Augen, Betragsgrenzen</t>
  </si>
  <si>
    <t xml:space="preserve">Lösungsort offen (ERP oder ELO-Workflow)</t>
  </si>
  <si>
    <t xml:space="preserve">F-009</t>
  </si>
  <si>
    <t xml:space="preserve">Kostenträgerrechnung</t>
  </si>
  <si>
    <t xml:space="preserve">Nachkalkulation je Auftrag/Projekt mit Ist-Kosten</t>
  </si>
  <si>
    <t xml:space="preserve">Setzt arbeitsplatzbezogene Rückmeldung voraus (W-16)</t>
  </si>
  <si>
    <t xml:space="preserve">F-010</t>
  </si>
  <si>
    <t xml:space="preserve">Planung/Budgetierung</t>
  </si>
  <si>
    <t xml:space="preserve">Kostenstellen- und Umsatzplanung im System</t>
  </si>
  <si>
    <t xml:space="preserve">F-011</t>
  </si>
  <si>
    <t xml:space="preserve">IFRS</t>
  </si>
  <si>
    <t xml:space="preserve">Paralleles Rechnungslegungswerk IFRS</t>
  </si>
  <si>
    <t xml:space="preserve">Beirat</t>
  </si>
  <si>
    <t xml:space="preserve">Anforderung (künftig)</t>
  </si>
  <si>
    <t xml:space="preserve">Paralleles Ledger im Standard = Pluspunkt (Beirat/Investor)</t>
  </si>
  <si>
    <t xml:space="preserve">F-012</t>
  </si>
  <si>
    <t xml:space="preserve">Berechtigungen / SoD</t>
  </si>
  <si>
    <t xml:space="preserve">Rollenkonzept mit Funktionstrennung</t>
  </si>
  <si>
    <t xml:space="preserve">WP-Rüge 2024; Helpdesk T25-0367</t>
  </si>
  <si>
    <t xml:space="preserve">F-013</t>
  </si>
  <si>
    <t xml:space="preserve">Offene API für BI</t>
  </si>
  <si>
    <t xml:space="preserve">OData/REST für Power BI</t>
  </si>
  <si>
    <t xml:space="preserve">F-014</t>
  </si>
  <si>
    <t xml:space="preserve">Kein Zusatz-BI</t>
  </si>
  <si>
    <t xml:space="preserve">Kein separat zu lizenzierendes BI-Modul</t>
  </si>
  <si>
    <t xml:space="preserve">Kostenaspekt – fließt in TCO</t>
  </si>
  <si>
    <t xml:space="preserve">F-015</t>
  </si>
  <si>
    <t xml:space="preserve">Anlagenbuchhaltung</t>
  </si>
  <si>
    <t xml:space="preserve">inkl. Leasing</t>
  </si>
  <si>
    <t xml:space="preserve">V-001</t>
  </si>
  <si>
    <t xml:space="preserve">Vertrieb</t>
  </si>
  <si>
    <t xml:space="preserve">Variantenkonfigurator</t>
  </si>
  <si>
    <t xml:space="preserve">Regelbasierter Produktkonfigurator für Getriebebaukasten (ca. 2,3 Mio. Varianten), integriert.</t>
  </si>
  <si>
    <t xml:space="preserve">MUSS / K.O.</t>
  </si>
  <si>
    <t xml:space="preserve">Interview 02, 05</t>
  </si>
  <si>
    <t xml:space="preserve">K1 – Hauptursache Scheitern 2016</t>
  </si>
  <si>
    <t xml:space="preserve">V-002</t>
  </si>
  <si>
    <t xml:space="preserve">Konfigurator offline iPad</t>
  </si>
  <si>
    <t xml:space="preserve">Konfigurator beim Kunden auf iPad, offline, mit 3D-Modell.</t>
  </si>
  <si>
    <t xml:space="preserve">Phase 2</t>
  </si>
  <si>
    <t xml:space="preserve">Muss nur: Konfigurator online für Außendienst nutzbar; offline/3D Phase 2</t>
  </si>
  <si>
    <t xml:space="preserve">V-003</t>
  </si>
  <si>
    <t xml:space="preserve">Preisfindung</t>
  </si>
  <si>
    <t xml:space="preserve">Kundenkonditionen, Projektpreise, Staffeln, Metallzuschlag</t>
  </si>
  <si>
    <t xml:space="preserve">inkl. Metallzuschlag (E-004); versteckte Preislogik KVA-WARE dokumentieren (N-006)</t>
  </si>
  <si>
    <t xml:space="preserve">V-004</t>
  </si>
  <si>
    <t xml:space="preserve">Verfügbarkeitsprüfung</t>
  </si>
  <si>
    <t xml:space="preserve">ATP/CTP bei Auftragserfassung, verbindlicher Liefertermin</t>
  </si>
  <si>
    <t xml:space="preserve">ATP/CTP – Hebel Liefertreue</t>
  </si>
  <si>
    <t xml:space="preserve">V-005</t>
  </si>
  <si>
    <t xml:space="preserve">Angebotsverfolgung</t>
  </si>
  <si>
    <t xml:space="preserve">Wiedervorlage, Status, Verlustgründe</t>
  </si>
  <si>
    <t xml:space="preserve">Im CRM (Salesforce oder ERP-CRM)</t>
  </si>
  <si>
    <t xml:space="preserve">V-006</t>
  </si>
  <si>
    <t xml:space="preserve">Projektabwicklung Sonder</t>
  </si>
  <si>
    <t xml:space="preserve">Meilensteine, Anzahlungen, Projektstatus, PoC</t>
  </si>
  <si>
    <t xml:space="preserve">V-007</t>
  </si>
  <si>
    <t xml:space="preserve">Sanktionslisten automatisch, Güterlistennr. am Artikel, Sperre</t>
  </si>
  <si>
    <t xml:space="preserve">Haftung GF; Exportkontrollbeauftragter benennen</t>
  </si>
  <si>
    <t xml:space="preserve">V-008</t>
  </si>
  <si>
    <t xml:space="preserve">EDI Kunden</t>
  </si>
  <si>
    <t xml:space="preserve">ORDERS, DESADV, INVOIC, DELFOR (VDA/EDIFACT)</t>
  </si>
  <si>
    <t xml:space="preserve">IT-Architektur</t>
  </si>
  <si>
    <t xml:space="preserve">Bestehende EDI-Kunden (stabil)</t>
  </si>
  <si>
    <t xml:space="preserve">V-009</t>
  </si>
  <si>
    <t xml:space="preserve">Kundenportal</t>
  </si>
  <si>
    <t xml:space="preserve">Auftragsstatus, Belege, Zeichnungen für Kunden</t>
  </si>
  <si>
    <t xml:space="preserve">Ein gemeinsames Portal mit S-006</t>
  </si>
  <si>
    <t xml:space="preserve">V-010</t>
  </si>
  <si>
    <t xml:space="preserve">Outlook-Integration</t>
  </si>
  <si>
    <t xml:space="preserve">Belegversand, Korrespondenz am Vorgang</t>
  </si>
  <si>
    <t xml:space="preserve">V-011</t>
  </si>
  <si>
    <t xml:space="preserve">Salesforce-Integration</t>
  </si>
  <si>
    <t xml:space="preserve">Bidirektional: Kunden, Angebote, Aufträge, Liefertermine, OP</t>
  </si>
  <si>
    <t xml:space="preserve">E-Mail Moser 26.01.</t>
  </si>
  <si>
    <t xml:space="preserve">Integration bis CRM-Entscheidung 2028</t>
  </si>
  <si>
    <t xml:space="preserve">V-012</t>
  </si>
  <si>
    <t xml:space="preserve">CRM im ERP</t>
  </si>
  <si>
    <t xml:space="preserve">CRM-Funktionen im ERP, Ablösung Salesforce</t>
  </si>
  <si>
    <t xml:space="preserve">Bewertungskriterium</t>
  </si>
  <si>
    <t xml:space="preserve">Beide Varianten bewerten (GF-Mail 27.01.)</t>
  </si>
  <si>
    <t xml:space="preserve">V-013</t>
  </si>
  <si>
    <t xml:space="preserve">Rahmenaufträge/Lieferpläne</t>
  </si>
  <si>
    <t xml:space="preserve">Abrufe, Lieferplaneinteilungen</t>
  </si>
  <si>
    <t xml:space="preserve">Prozess O2C</t>
  </si>
  <si>
    <t xml:space="preserve">V-014</t>
  </si>
  <si>
    <t xml:space="preserve">Konsignationslager Kunde</t>
  </si>
  <si>
    <t xml:space="preserve">Bestandsführung beim Kunden, Verbrauchsmeldung</t>
  </si>
  <si>
    <t xml:space="preserve">Interview 08</t>
  </si>
  <si>
    <t xml:space="preserve">V-015</t>
  </si>
  <si>
    <t xml:space="preserve">Konfigurator muss alle Optionen aus KonfiX abbilden.</t>
  </si>
  <si>
    <t xml:space="preserve">Hoch</t>
  </si>
  <si>
    <t xml:space="preserve">Workshop O2C</t>
  </si>
  <si>
    <t xml:space="preserve">Dublette?</t>
  </si>
  <si>
    <t xml:space="preserve">Dublette</t>
  </si>
  <si>
    <t xml:space="preserve">In V-001 aufgegangen</t>
  </si>
  <si>
    <t xml:space="preserve">P-001</t>
  </si>
  <si>
    <t xml:space="preserve">Produktion</t>
  </si>
  <si>
    <t xml:space="preserve">Variantenstückliste</t>
  </si>
  <si>
    <t xml:space="preserve">Regelbasiert, automatische FA-Stückliste &amp; Arbeitsplan</t>
  </si>
  <si>
    <t xml:space="preserve">Interview 06</t>
  </si>
  <si>
    <t xml:space="preserve">P-002</t>
  </si>
  <si>
    <t xml:space="preserve">PDM-Integration</t>
  </si>
  <si>
    <t xml:space="preserve">Bidirektional, Revisionsstände, Änderungswesen</t>
  </si>
  <si>
    <t xml:space="preserve">Interview 04, 06</t>
  </si>
  <si>
    <t xml:space="preserve">PDM führend für Konstruktions-Stückliste</t>
  </si>
  <si>
    <t xml:space="preserve">P-003</t>
  </si>
  <si>
    <t xml:space="preserve">MRP</t>
  </si>
  <si>
    <t xml:space="preserve">Losgrößen, WBZ, Sicherheitsbestand</t>
  </si>
  <si>
    <t xml:space="preserve">P-004</t>
  </si>
  <si>
    <t xml:space="preserve">Kapazitätsplanung grob</t>
  </si>
  <si>
    <t xml:space="preserve">alle Arbeitsplätze</t>
  </si>
  <si>
    <t xml:space="preserve">P-005</t>
  </si>
  <si>
    <t xml:space="preserve">Finite Planung Härterei/Verzahnung, Ofenchargen</t>
  </si>
  <si>
    <t xml:space="preserve">Muss (Teil) / Phase 2</t>
  </si>
  <si>
    <t xml:space="preserve">Phase 1: Engpass Härterei/Verzahnung finite inkl. Ofenchargen; volles APS Phase 2</t>
  </si>
  <si>
    <t xml:space="preserve">P-006</t>
  </si>
  <si>
    <t xml:space="preserve">Leitstand grafisch</t>
  </si>
  <si>
    <t xml:space="preserve">Gantt, Drag &amp; Drop, Simulation</t>
  </si>
  <si>
    <t xml:space="preserve">Flipchart 21.01.</t>
  </si>
  <si>
    <t xml:space="preserve">Teil APS Phase 2</t>
  </si>
  <si>
    <t xml:space="preserve">P-007</t>
  </si>
  <si>
    <t xml:space="preserve">Ansicht wie F12</t>
  </si>
  <si>
    <t xml:space="preserve">Fertigungsübersicht identisch zu KVA-WARE Maske F12</t>
  </si>
  <si>
    <t xml:space="preserve">Interview 02, Flipchart</t>
  </si>
  <si>
    <t xml:space="preserve">Arbeitsplatzübersicht mit Ampel/Material/nächster AG, &lt; 2 s</t>
  </si>
  <si>
    <t xml:space="preserve">P-008</t>
  </si>
  <si>
    <t xml:space="preserve">Mehrwerksplanung</t>
  </si>
  <si>
    <t xml:space="preserve">Singen &lt;-&gt; Pilsen</t>
  </si>
  <si>
    <t xml:space="preserve">Interview 06, 11</t>
  </si>
  <si>
    <t xml:space="preserve">P-009</t>
  </si>
  <si>
    <t xml:space="preserve">Mobile Rückmeldung</t>
  </si>
  <si>
    <t xml:space="preserve">Tablet/Scanner, Menge, Ausschuss, Störgrund</t>
  </si>
  <si>
    <t xml:space="preserve">BR-konform (B-001)</t>
  </si>
  <si>
    <t xml:space="preserve">P-010</t>
  </si>
  <si>
    <t xml:space="preserve">Rückmeldung mit Personalnummer für Ist-Lohnkosten</t>
  </si>
  <si>
    <t xml:space="preserve">Controlling (mündl.)</t>
  </si>
  <si>
    <t xml:space="preserve">Konflikt BR</t>
  </si>
  <si>
    <t xml:space="preserve">Arbeitsplatz-/gruppenbezogen, Lohngruppen-Mischsatz</t>
  </si>
  <si>
    <t xml:space="preserve">P-011</t>
  </si>
  <si>
    <t xml:space="preserve">Ersatz BDE-Terminals</t>
  </si>
  <si>
    <t xml:space="preserve">bis 2027</t>
  </si>
  <si>
    <t xml:space="preserve">Muss (Sofortmaßnahme)</t>
  </si>
  <si>
    <t xml:space="preserve">Hardware-Ersatz vor Go-live</t>
  </si>
  <si>
    <t xml:space="preserve">P-012</t>
  </si>
  <si>
    <t xml:space="preserve">Fremdbearbeitung</t>
  </si>
  <si>
    <t xml:space="preserve">Beistellung, Lieferschein, Rückmeldung</t>
  </si>
  <si>
    <t xml:space="preserve">Interview 06, 07</t>
  </si>
  <si>
    <t xml:space="preserve">P-013</t>
  </si>
  <si>
    <t xml:space="preserve">Werkzeugverwaltung</t>
  </si>
  <si>
    <t xml:space="preserve">Werkzeuge, Vorrichtungen</t>
  </si>
  <si>
    <t xml:space="preserve">P-014</t>
  </si>
  <si>
    <t xml:space="preserve">Instandhaltung</t>
  </si>
  <si>
    <t xml:space="preserve">Wartungspläne 45 Maschinen, Störmeldungen</t>
  </si>
  <si>
    <t xml:space="preserve">Modul-Verfügbarkeit = Bewertungspunkt</t>
  </si>
  <si>
    <t xml:space="preserve">P-015</t>
  </si>
  <si>
    <t xml:space="preserve">MDE/OPC UA</t>
  </si>
  <si>
    <t xml:space="preserve">Maschinendaten Verzahnung</t>
  </si>
  <si>
    <t xml:space="preserve">Phase 2 (MDE)</t>
  </si>
  <si>
    <t xml:space="preserve">P-016</t>
  </si>
  <si>
    <t xml:space="preserve">Offline-Fähigkeit</t>
  </si>
  <si>
    <t xml:space="preserve">Produktion läuft bei Internetausfall weiter</t>
  </si>
  <si>
    <t xml:space="preserve">Interview 02</t>
  </si>
  <si>
    <t xml:space="preserve">Offline-Puffer ≥ 8 h oder redundante Anbindung</t>
  </si>
  <si>
    <t xml:space="preserve">P-017</t>
  </si>
  <si>
    <t xml:space="preserve">Digitale Laufkarte</t>
  </si>
  <si>
    <t xml:space="preserve">Arbeitspapiere mit Zeichnung am Arbeitsplatz</t>
  </si>
  <si>
    <t xml:space="preserve">VS-NfD-Zeichnungen ausgenommen</t>
  </si>
  <si>
    <t xml:space="preserve">P-018</t>
  </si>
  <si>
    <t xml:space="preserve">Schichtplanung</t>
  </si>
  <si>
    <t xml:space="preserve">Schichtmodelle, Personalkapazität</t>
  </si>
  <si>
    <t xml:space="preserve">?</t>
  </si>
  <si>
    <t xml:space="preserve">unklar</t>
  </si>
  <si>
    <t xml:space="preserve">Eher Zeitwirtschaft/Personio</t>
  </si>
  <si>
    <t xml:space="preserve">E-001</t>
  </si>
  <si>
    <t xml:space="preserve">Einkauf</t>
  </si>
  <si>
    <t xml:space="preserve">Rahmenverträge Einkauf</t>
  </si>
  <si>
    <t xml:space="preserve">Kontrakte, Abrufe, Lieferpläne</t>
  </si>
  <si>
    <t xml:space="preserve">Interview 07</t>
  </si>
  <si>
    <t xml:space="preserve">E-002</t>
  </si>
  <si>
    <t xml:space="preserve">Bestellvorschläge</t>
  </si>
  <si>
    <t xml:space="preserve">Losgrößen, Staffeln, Mindestmengen</t>
  </si>
  <si>
    <t xml:space="preserve">Dublette zu P-003 (gemeinsam testen)</t>
  </si>
  <si>
    <t xml:space="preserve">E-003</t>
  </si>
  <si>
    <t xml:space="preserve">Auftragsbestätigungen</t>
  </si>
  <si>
    <t xml:space="preserve">Erfassung, Terminabweichung</t>
  </si>
  <si>
    <t xml:space="preserve">E-004</t>
  </si>
  <si>
    <t xml:space="preserve">Metallzuschläge</t>
  </si>
  <si>
    <t xml:space="preserve">Automatisch nach Index, EK und VK</t>
  </si>
  <si>
    <t xml:space="preserve">EK und VK</t>
  </si>
  <si>
    <t xml:space="preserve">E-005</t>
  </si>
  <si>
    <t xml:space="preserve">Lieferantenportal</t>
  </si>
  <si>
    <t xml:space="preserve">Bestellungen, AB, Avis</t>
  </si>
  <si>
    <t xml:space="preserve">E-006</t>
  </si>
  <si>
    <t xml:space="preserve">Lieferantenbewertung</t>
  </si>
  <si>
    <t xml:space="preserve">automatisch</t>
  </si>
  <si>
    <t xml:space="preserve">E-007</t>
  </si>
  <si>
    <t xml:space="preserve">Anfrage/Angebotsvergleich</t>
  </si>
  <si>
    <t xml:space="preserve">E-008</t>
  </si>
  <si>
    <t xml:space="preserve">3-Way-Match</t>
  </si>
  <si>
    <t xml:space="preserve">Bestellung-WE-Rechnung</t>
  </si>
  <si>
    <t xml:space="preserve">Mit F-008 kombiniert</t>
  </si>
  <si>
    <t xml:space="preserve">E-009</t>
  </si>
  <si>
    <t xml:space="preserve">Zentraleinkauf Pilsen</t>
  </si>
  <si>
    <t xml:space="preserve">Bündelung</t>
  </si>
  <si>
    <t xml:space="preserve">Einsparpotenzial 300–500 T€ p. a. (Frick, ungeprüft)</t>
  </si>
  <si>
    <t xml:space="preserve">E-010</t>
  </si>
  <si>
    <t xml:space="preserve">EDI Lieferanten</t>
  </si>
  <si>
    <t xml:space="preserve">Top 5</t>
  </si>
  <si>
    <t xml:space="preserve">E-011</t>
  </si>
  <si>
    <t xml:space="preserve">CO2-Fußabdruck</t>
  </si>
  <si>
    <t xml:space="preserve">Produkt-CO2 für Kundenanfragen</t>
  </si>
  <si>
    <t xml:space="preserve">Phase 2; Anbieter-Roadmap abfragen</t>
  </si>
  <si>
    <t xml:space="preserve">L-001</t>
  </si>
  <si>
    <t xml:space="preserve">Lager</t>
  </si>
  <si>
    <t xml:space="preserve">Lagerplatzverwaltung</t>
  </si>
  <si>
    <t xml:space="preserve">Feste + chaotische Plätze, Platzvorschlag</t>
  </si>
  <si>
    <t xml:space="preserve">L-002</t>
  </si>
  <si>
    <t xml:space="preserve">Scanner/MDE</t>
  </si>
  <si>
    <t xml:space="preserve">WE, Umlagerung, Kommissionierung per Scan</t>
  </si>
  <si>
    <t xml:space="preserve">Voraussetzung für Serien-/Chargen ohne Mehraufwand</t>
  </si>
  <si>
    <t xml:space="preserve">W-10, W-11</t>
  </si>
  <si>
    <t xml:space="preserve">L-003</t>
  </si>
  <si>
    <t xml:space="preserve">Kardex-Anbindung</t>
  </si>
  <si>
    <t xml:space="preserve">Lagerlift-Schnittstelle</t>
  </si>
  <si>
    <t xml:space="preserve">L-004</t>
  </si>
  <si>
    <t xml:space="preserve">Permanente Inventur</t>
  </si>
  <si>
    <t xml:space="preserve">L-005</t>
  </si>
  <si>
    <t xml:space="preserve">Versand/Carrier</t>
  </si>
  <si>
    <t xml:space="preserve">DHL, DPD, UPS, Spedition, Labels, Packliste</t>
  </si>
  <si>
    <t xml:space="preserve">Ersatz Access-Tool</t>
  </si>
  <si>
    <t xml:space="preserve">L-006</t>
  </si>
  <si>
    <t xml:space="preserve">Zoll/ATLAS</t>
  </si>
  <si>
    <t xml:space="preserve">Exportdokumente, Schweiz</t>
  </si>
  <si>
    <t xml:space="preserve">L-007</t>
  </si>
  <si>
    <t xml:space="preserve">Umlagerung Werke</t>
  </si>
  <si>
    <t xml:space="preserve">Singen &lt;-&gt; Pilsen als Umlagerung/IC</t>
  </si>
  <si>
    <t xml:space="preserve">Interview 08, 11</t>
  </si>
  <si>
    <t xml:space="preserve">Heute als Verkauf gebucht!</t>
  </si>
  <si>
    <t xml:space="preserve">L-008</t>
  </si>
  <si>
    <t xml:space="preserve">Seriennummern nur Sonder</t>
  </si>
  <si>
    <t xml:space="preserve">Seriennummern nur für Sonderantriebe</t>
  </si>
  <si>
    <t xml:space="preserve">Interview 08, 02</t>
  </si>
  <si>
    <t xml:space="preserve">Konflikt</t>
  </si>
  <si>
    <t xml:space="preserve">Ersetzt durch S-001/Q-002 (Seriennummer alle, automatisch + Scan)</t>
  </si>
  <si>
    <t xml:space="preserve">L-009</t>
  </si>
  <si>
    <t xml:space="preserve">Einfache Oberfläche</t>
  </si>
  <si>
    <t xml:space="preserve">Große Schaltflächen, wenige Klicks</t>
  </si>
  <si>
    <t xml:space="preserve">Usability-Test Lager</t>
  </si>
  <si>
    <t xml:space="preserve">L-010</t>
  </si>
  <si>
    <t xml:space="preserve">Sprachen Lager</t>
  </si>
  <si>
    <t xml:space="preserve">Rumänisch/Türkisch</t>
  </si>
  <si>
    <t xml:space="preserve">S-001</t>
  </si>
  <si>
    <t xml:space="preserve">Service</t>
  </si>
  <si>
    <t xml:space="preserve">Seriennummern alle Antriebe</t>
  </si>
  <si>
    <t xml:space="preserve">Installed Base für alle ausgelieferten Antriebe</t>
  </si>
  <si>
    <t xml:space="preserve">Interview 09</t>
  </si>
  <si>
    <t xml:space="preserve">K5 – GF-Entscheidung</t>
  </si>
  <si>
    <t xml:space="preserve">S-002</t>
  </si>
  <si>
    <t xml:space="preserve">Installed Base Migration</t>
  </si>
  <si>
    <t xml:space="preserve">Fertigungsnummern seit 2005 übernehmen</t>
  </si>
  <si>
    <t xml:space="preserve">Fertigungsnummern ab 2005 als Pseudo-Seriennummer</t>
  </si>
  <si>
    <t xml:space="preserve">S-003</t>
  </si>
  <si>
    <t xml:space="preserve">Serviceaufträge Werkstatt</t>
  </si>
  <si>
    <t xml:space="preserve">Befundung, KVA, Freigabe, Abrechnung</t>
  </si>
  <si>
    <t xml:space="preserve">S-004</t>
  </si>
  <si>
    <t xml:space="preserve">Field Service mobil offline</t>
  </si>
  <si>
    <t xml:space="preserve">Einsatzplanung, App, Berichte, Unterschrift</t>
  </si>
  <si>
    <t xml:space="preserve">Einsatzplanung Phase 1, mobile Offline-App Phase 2</t>
  </si>
  <si>
    <t xml:space="preserve">S-005</t>
  </si>
  <si>
    <t xml:space="preserve">Wartungsverträge</t>
  </si>
  <si>
    <t xml:space="preserve">Intervalle, Auto-Auftrag, Vertragsabrechnung</t>
  </si>
  <si>
    <t xml:space="preserve">Strategie 2030: 41 → 300 Verträge</t>
  </si>
  <si>
    <t xml:space="preserve">S-006</t>
  </si>
  <si>
    <t xml:space="preserve">Ersatzteilshop / Portal</t>
  </si>
  <si>
    <t xml:space="preserve">QR-Code Typenschild -&gt; Ersatzteile</t>
  </si>
  <si>
    <t xml:space="preserve">Gemeinsames Portal mit V-009</t>
  </si>
  <si>
    <t xml:space="preserve">S-007</t>
  </si>
  <si>
    <t xml:space="preserve">Garantie/Kulanz</t>
  </si>
  <si>
    <t xml:space="preserve">Fehlercodes, Auswertung</t>
  </si>
  <si>
    <t xml:space="preserve">S-008</t>
  </si>
  <si>
    <t xml:space="preserve">IoT-Anbindung</t>
  </si>
  <si>
    <t xml:space="preserve">Schnittstelle Zustandsdaten</t>
  </si>
  <si>
    <t xml:space="preserve">API (K8) genügt</t>
  </si>
  <si>
    <t xml:space="preserve">Q-001</t>
  </si>
  <si>
    <t xml:space="preserve">Qualität</t>
  </si>
  <si>
    <t xml:space="preserve">Guss, Härten, kritische Kaufteile vor-/rückwärts</t>
  </si>
  <si>
    <t xml:space="preserve">Interview 10</t>
  </si>
  <si>
    <t xml:space="preserve">Q-002</t>
  </si>
  <si>
    <t xml:space="preserve">Seriennummer alle Antriebe</t>
  </si>
  <si>
    <t xml:space="preserve">mind. Bahn, Wehr, Kran</t>
  </si>
  <si>
    <t xml:space="preserve">K5 (mit S-001 zusammengeführt)</t>
  </si>
  <si>
    <t xml:space="preserve">Q-003</t>
  </si>
  <si>
    <t xml:space="preserve">Prüfplanung</t>
  </si>
  <si>
    <t xml:space="preserve">WE, Fertigung, Endprüfung</t>
  </si>
  <si>
    <t xml:space="preserve">Q-004</t>
  </si>
  <si>
    <t xml:space="preserve">Prüfmittelverwaltung</t>
  </si>
  <si>
    <t xml:space="preserve">1.400 Prüfmittel</t>
  </si>
  <si>
    <t xml:space="preserve">Q-005</t>
  </si>
  <si>
    <t xml:space="preserve">Reklamation 8D</t>
  </si>
  <si>
    <t xml:space="preserve">Kunde &amp; Lieferant</t>
  </si>
  <si>
    <t xml:space="preserve">Q-006</t>
  </si>
  <si>
    <t xml:space="preserve">Zeugnisse 3.1</t>
  </si>
  <si>
    <t xml:space="preserve">am WE hinterlegen, an Kunden</t>
  </si>
  <si>
    <t xml:space="preserve">Q-007</t>
  </si>
  <si>
    <t xml:space="preserve">Chargen</t>
  </si>
  <si>
    <t xml:space="preserve">Chargenführung Gussgehäuse</t>
  </si>
  <si>
    <t xml:space="preserve">In Q-001 aufgegangen</t>
  </si>
  <si>
    <t xml:space="preserve">T-001</t>
  </si>
  <si>
    <t xml:space="preserve">IT</t>
  </si>
  <si>
    <t xml:space="preserve">Betriebsmodell SaaS</t>
  </si>
  <si>
    <t xml:space="preserve">Public Cloud SaaS, EU-RZ</t>
  </si>
  <si>
    <t xml:space="preserve">LK 18.02.: beide Betriebsmodelle bewerten</t>
  </si>
  <si>
    <t xml:space="preserve">T-002</t>
  </si>
  <si>
    <t xml:space="preserve">Betriebsmodell Private Cloud/On-Prem</t>
  </si>
  <si>
    <t xml:space="preserve">Hosting DE oder On-Prem</t>
  </si>
  <si>
    <t xml:space="preserve">Interview 04</t>
  </si>
  <si>
    <t xml:space="preserve">T-003</t>
  </si>
  <si>
    <t xml:space="preserve">SSO Entra ID</t>
  </si>
  <si>
    <t xml:space="preserve">SSO, MFA</t>
  </si>
  <si>
    <t xml:space="preserve">T-004</t>
  </si>
  <si>
    <t xml:space="preserve">Offene APIs</t>
  </si>
  <si>
    <t xml:space="preserve">REST/OData, Events</t>
  </si>
  <si>
    <t xml:space="preserve">T-005</t>
  </si>
  <si>
    <t xml:space="preserve">Datenhaltung DE</t>
  </si>
  <si>
    <t xml:space="preserve">Für Wehrtechnik ggf. Datenhaltung in DE, Betrieb durch DE-Personal</t>
  </si>
  <si>
    <t xml:space="preserve">Mail Brenner 21.01.</t>
  </si>
  <si>
    <t xml:space="preserve">mögliche künftige Anforderung</t>
  </si>
  <si>
    <t xml:space="preserve">Option im RFP abfragen</t>
  </si>
  <si>
    <t xml:space="preserve">T-006</t>
  </si>
  <si>
    <t xml:space="preserve">Shopfloor-Lizenzen</t>
  </si>
  <si>
    <t xml:space="preserve">Günstige Lizenzen für ~210 Rückmelder</t>
  </si>
  <si>
    <t xml:space="preserve">Lizenzmodell entscheidend für TCO</t>
  </si>
  <si>
    <t xml:space="preserve">T-007</t>
  </si>
  <si>
    <t xml:space="preserve">Migration</t>
  </si>
  <si>
    <t xml:space="preserve">Stichtagsmigration Stammdaten, OP, Bestände</t>
  </si>
  <si>
    <t xml:space="preserve">T-008</t>
  </si>
  <si>
    <t xml:space="preserve">Release-Fähigkeit</t>
  </si>
  <si>
    <t xml:space="preserve">Updates ohne Anpassungsaufwand</t>
  </si>
  <si>
    <t xml:space="preserve">T-009</t>
  </si>
  <si>
    <t xml:space="preserve">NIS2/ISMS</t>
  </si>
  <si>
    <t xml:space="preserve">Anbieter mit ISO 27001</t>
  </si>
  <si>
    <t xml:space="preserve">gesetzlich (Annahme)</t>
  </si>
  <si>
    <t xml:space="preserve">NIS2 voraussichtlich direkt betroffen</t>
  </si>
  <si>
    <t xml:space="preserve">Partner CZ</t>
  </si>
  <si>
    <t xml:space="preserve">Implementierungspartner mit CZ-Präsenz</t>
  </si>
  <si>
    <t xml:space="preserve">T-011</t>
  </si>
  <si>
    <t xml:space="preserve">Mittelstandsanbieter</t>
  </si>
  <si>
    <t xml:space="preserve">Anbieter mit Fokus Mittelstand Fertigung, Süddeutschland</t>
  </si>
  <si>
    <t xml:space="preserve">Persönliche Präferenz Vogt – keine Anforderung</t>
  </si>
  <si>
    <t xml:space="preserve">B-001</t>
  </si>
  <si>
    <t xml:space="preserve">Betriebsrat</t>
  </si>
  <si>
    <t xml:space="preserve">Keine Leistungskontrolle</t>
  </si>
  <si>
    <t xml:space="preserve">Keine personenbezogenen Auswertungen &lt; 5 Personen</t>
  </si>
  <si>
    <t xml:space="preserve">Interview 12, BR-Schreiben</t>
  </si>
  <si>
    <t xml:space="preserve">Rahmenbedingung (BetrVG)</t>
  </si>
  <si>
    <t xml:space="preserve">B-002</t>
  </si>
  <si>
    <t xml:space="preserve">Schulung mehrsprachig</t>
  </si>
  <si>
    <t xml:space="preserve">Lernplattform, Schulung in Arbeitszeit</t>
  </si>
  <si>
    <t xml:space="preserve">Interview 12</t>
  </si>
  <si>
    <t xml:space="preserve">B-003</t>
  </si>
  <si>
    <t xml:space="preserve">Transparenz Datenverarbeitung</t>
  </si>
  <si>
    <t xml:space="preserve">Ort der Verarbeitung, Unterauftragsverarbeiter</t>
  </si>
  <si>
    <t xml:space="preserve">BR-Schreiben</t>
  </si>
  <si>
    <t xml:space="preserve">X-001</t>
  </si>
  <si>
    <t xml:space="preserve">Termin</t>
  </si>
  <si>
    <t xml:space="preserve">Go-live Singen</t>
  </si>
  <si>
    <t xml:space="preserve">01.01.2028</t>
  </si>
  <si>
    <t xml:space="preserve">Projektrahmen</t>
  </si>
  <si>
    <t xml:space="preserve">GF-Entscheidung</t>
  </si>
  <si>
    <t xml:space="preserve">Kein Systemkriterium – siehe Roadmap</t>
  </si>
  <si>
    <t xml:space="preserve">X-002</t>
  </si>
  <si>
    <t xml:space="preserve">Pilsen Lösung bis 31.12.2026</t>
  </si>
  <si>
    <t xml:space="preserve">NAV-Partner kündigt</t>
  </si>
  <si>
    <t xml:space="preserve">Mail Nováková 04.02.</t>
  </si>
  <si>
    <t xml:space="preserve">Bewertungskriterium „Zeitliche Machbarkeit Pilsen“</t>
  </si>
  <si>
    <t xml:space="preserve">X-003</t>
  </si>
  <si>
    <t xml:space="preserve">1,2 Mio. € (Projektauftrag) / &lt;1 Mio (Kessler) / TCO 5J 1,5 Mio (Haller)</t>
  </si>
  <si>
    <t xml:space="preserve">diverse</t>
  </si>
  <si>
    <t xml:space="preserve">Siehe TCO</t>
  </si>
  <si>
    <t xml:space="preserve">N-001</t>
  </si>
  <si>
    <t xml:space="preserve">E-Rechnung Versand Interim</t>
  </si>
  <si>
    <t xml:space="preserve">ZUGFeRD/XRechnung-Versand aus KVA-WARE ab 01.01.2027 (Konverter/Dienstleister) – Sofortmaßnahme</t>
  </si>
  <si>
    <t xml:space="preserve">–</t>
  </si>
  <si>
    <t xml:space="preserve">HTWG-Analyse</t>
  </si>
  <si>
    <t xml:space="preserve">neu</t>
  </si>
  <si>
    <t xml:space="preserve">Versandpflicht 2027 trifft KVA vor Go-live</t>
  </si>
  <si>
    <t xml:space="preserve">N-002</t>
  </si>
  <si>
    <t xml:space="preserve">Security-Nachweise Anbieter</t>
  </si>
  <si>
    <t xml:space="preserve">ISO 27001 / BSI C5 / SOC 2 des Betreibers, Notfallkonzept, Exit-Klausel</t>
  </si>
  <si>
    <t xml:space="preserve">N-003</t>
  </si>
  <si>
    <t xml:space="preserve">Gutschriften &amp; Retouren</t>
  </si>
  <si>
    <t xml:space="preserve">Definierter Retourenprozess inkl. Gutschrift, Bezug zur Seriennummer</t>
  </si>
  <si>
    <t xml:space="preserve">Lücke Prozess O2C Kap. 4</t>
  </si>
  <si>
    <t xml:space="preserve">N-004</t>
  </si>
  <si>
    <t xml:space="preserve">Absatz-/Primärbedarfsplanung</t>
  </si>
  <si>
    <t xml:space="preserve">Absatzplanung (S&amp;OP light) als Basis MRP und Kapazität</t>
  </si>
  <si>
    <t xml:space="preserve">Prozess P2Produce: keine Absatzplanung; Hebel Liefertreue/Bestand</t>
  </si>
  <si>
    <t xml:space="preserve">N-005</t>
  </si>
  <si>
    <t xml:space="preserve">Konsignations- und Werksumlagerung</t>
  </si>
  <si>
    <t xml:space="preserve">Umlagerung Singen ↔ Pilsen mit Transitbestand statt Verkauf</t>
  </si>
  <si>
    <t xml:space="preserve">Int. 08 – heute als Verkauf gebucht</t>
  </si>
  <si>
    <t xml:space="preserve">N-006</t>
  </si>
  <si>
    <t xml:space="preserve">Versteckte Logik KVA-WARE</t>
  </si>
  <si>
    <t xml:space="preserve">Preisaufschläge Kunde X, Regionalrabatte, Kupferzuschlag dokumentieren (Brugger, bis 06/2027)</t>
  </si>
  <si>
    <t xml:space="preserve">Projektaufgabe</t>
  </si>
  <si>
    <t xml:space="preserve">Int. 04 Brugger: „weiß niemand außer mir“</t>
  </si>
  <si>
    <t xml:space="preserve">N-007</t>
  </si>
  <si>
    <t xml:space="preserve">Bestandsbewertung / Ladenhüter</t>
  </si>
  <si>
    <t xml:space="preserve">Reichweiten-/Gängigkeitsanalyse und Abwertung im System</t>
  </si>
  <si>
    <t xml:space="preserve">Controlling: 3,1 Mio. € Ladenhüter</t>
  </si>
  <si>
    <t xml:space="preserve">N-008</t>
  </si>
  <si>
    <t xml:space="preserve">KPI Liefertreue</t>
  </si>
  <si>
    <t xml:space="preserve">Messung gegen ersten bestätigten Termin, Standardbericht</t>
  </si>
  <si>
    <t xml:space="preserve">Auswertung</t>
  </si>
  <si>
    <t xml:space="preserve">Muss (inkl. umformuliert/Teil)</t>
  </si>
  <si>
    <t xml:space="preserve">Phase 2 (inkl. umformuliert/Teil)</t>
  </si>
  <si>
    <t xml:space="preserve">Größe</t>
  </si>
  <si>
    <t xml:space="preserve">Werte im Fallpaket (Quellen)</t>
  </si>
  <si>
    <t xml:space="preserve">Planwert</t>
  </si>
  <si>
    <t xml:space="preserve">Begründung</t>
  </si>
  <si>
    <t xml:space="preserve">Bezug</t>
  </si>
  <si>
    <t xml:space="preserve">ERP-Nutzer (Named)</t>
  </si>
  <si>
    <t xml:space="preserve">180 (Projektauftrag) / 230 (Brenner) / 150 (KVA-WARE heute) + 31→50 Pilsen</t>
  </si>
  <si>
    <t xml:space="preserve">230</t>
  </si>
  <si>
    <t xml:space="preserve">120 Voll- + 110 Light-User; Brenner-Zählung inkl. Lager, Meister, Techniker; Pilsen-Wachstum enthalten</t>
  </si>
  <si>
    <t xml:space="preserve">Gleichzeitige Nutzer</t>
  </si>
  <si>
    <t xml:space="preserve">140 (Brenner)</t>
  </si>
  <si>
    <t xml:space="preserve">140</t>
  </si>
  <si>
    <t xml:space="preserve">für Performance-Tests</t>
  </si>
  <si>
    <t xml:space="preserve">Shopfloor-Rückmelder</t>
  </si>
  <si>
    <t xml:space="preserve">210 Personen (IT-Architektur)</t>
  </si>
  <si>
    <t xml:space="preserve">≈ 30 Geräte</t>
  </si>
  <si>
    <t xml:space="preserve">Rückmeldung über geteilte Tablets/Terminals (Geräte-Lizenz)</t>
  </si>
  <si>
    <t xml:space="preserve">Nutzer Pilsen</t>
  </si>
  <si>
    <t xml:space="preserve">35 (Projektauftrag) / 31 heute / 50 künftig (Int. 11)</t>
  </si>
  <si>
    <t xml:space="preserve">50</t>
  </si>
  <si>
    <t xml:space="preserve">3. Montagelinie 2027</t>
  </si>
  <si>
    <t xml:space="preserve">Mitarbeitende Gruppe</t>
  </si>
  <si>
    <t xml:space="preserve">420 Personen / 427 FTE</t>
  </si>
  <si>
    <t xml:space="preserve">420</t>
  </si>
  <si>
    <t xml:space="preserve">Personen; FTE nur für Kennzahlen</t>
  </si>
  <si>
    <t xml:space="preserve">Umsatz 2025</t>
  </si>
  <si>
    <t xml:space="preserve">86,4 Mio. € (Summe EA) / 82,7 Mio. € (konsolidiert, ohne CH)</t>
  </si>
  <si>
    <t xml:space="preserve">82,7 Mio. €</t>
  </si>
  <si>
    <t xml:space="preserve">konsolidiert für Business Case</t>
  </si>
  <si>
    <t xml:space="preserve">Artikel aktiv</t>
  </si>
  <si>
    <t xml:space="preserve">52.000 (2026) / 31.000 (2015, veraltet)</t>
  </si>
  <si>
    <t xml:space="preserve">52.000</t>
  </si>
  <si>
    <t xml:space="preserve">Migration nur aktive + bereinigt</t>
  </si>
  <si>
    <t xml:space="preserve">Stücklisten</t>
  </si>
  <si>
    <t xml:space="preserve">38.000 (60 % ungenutzt)</t>
  </si>
  <si>
    <t xml:space="preserve">≈ 15.000</t>
  </si>
  <si>
    <t xml:space="preserve">Nur verwendete migrieren; Rest durch Variantenstückliste ersetzt</t>
  </si>
  <si>
    <t xml:space="preserve">Kundenaufträge p. a.</t>
  </si>
  <si>
    <t xml:space="preserve">9.200 (davon 380 Sonderantriebe)</t>
  </si>
  <si>
    <t xml:space="preserve">9.200</t>
  </si>
  <si>
    <t xml:space="preserve">Q4-Spitze +30 %</t>
  </si>
  <si>
    <t xml:space="preserve">16.000 / 14.500</t>
  </si>
  <si>
    <t xml:space="preserve">16.000</t>
  </si>
  <si>
    <t xml:space="preserve">inkl. Nacharbeit</t>
  </si>
  <si>
    <t xml:space="preserve">Fertigungsaufträge Pilsen</t>
  </si>
  <si>
    <t xml:space="preserve">5.500</t>
  </si>
  <si>
    <t xml:space="preserve">22.000 (Produktion) / 30.000 (Lager)</t>
  </si>
  <si>
    <t xml:space="preserve">22.000</t>
  </si>
  <si>
    <t xml:space="preserve">Lagerplätze Singen</t>
  </si>
  <si>
    <t xml:space="preserve">4.800 / 5.200</t>
  </si>
  <si>
    <t xml:space="preserve">5.200</t>
  </si>
  <si>
    <t xml:space="preserve">Bereinigung vor Migration</t>
  </si>
  <si>
    <t xml:space="preserve">Installed Base</t>
  </si>
  <si>
    <t xml:space="preserve">180.000 ausgeliefert / 60.000 im Einsatz</t>
  </si>
  <si>
    <t xml:space="preserve">60.000 (ab 2005 migrierbar)</t>
  </si>
  <si>
    <t xml:space="preserve">Fertigungsnummer als Pseudo-Seriennummer</t>
  </si>
  <si>
    <t xml:space="preserve">Bestellungen p. a.</t>
  </si>
  <si>
    <t xml:space="preserve">13.500</t>
  </si>
  <si>
    <t xml:space="preserve">Liefertermintreue (Basis)</t>
  </si>
  <si>
    <t xml:space="preserve">71 % / 58 % / „60 %“</t>
  </si>
  <si>
    <t xml:space="preserve">58 %</t>
  </si>
  <si>
    <t xml:space="preserve">gegen ersten bestätigten Termin</t>
  </si>
  <si>
    <t xml:space="preserve">Nr</t>
  </si>
  <si>
    <t xml:space="preserve">Anbieter</t>
  </si>
  <si>
    <t xml:space="preserve">Produkt</t>
  </si>
  <si>
    <t xml:space="preserve">Herkunft</t>
  </si>
  <si>
    <t xml:space="preserve">Betriebsmodelle</t>
  </si>
  <si>
    <t xml:space="preserve">Fit CTO/ETO</t>
  </si>
  <si>
    <t xml:space="preserve">Präsenz CZ</t>
  </si>
  <si>
    <t xml:space="preserve">Partner DE</t>
  </si>
  <si>
    <t xml:space="preserve">Ergebnis</t>
  </si>
  <si>
    <t xml:space="preserve">Prüfstatus (Abruf 10/2026)</t>
  </si>
  <si>
    <t xml:space="preserve">Microsoft</t>
  </si>
  <si>
    <t xml:space="preserve">Dynamics 365 Business Central (+ Fertigungs-/Konfigurator-Erweiterung)</t>
  </si>
  <si>
    <t xml:space="preserve">USA</t>
  </si>
  <si>
    <t xml:space="preserve">SaaS (Azure EU); On-Prem/Partner-Hosting möglich</t>
  </si>
  <si>
    <t xml:space="preserve">CTO nur mit ISV-Erweiterung; ETO Basis (Projekte); Mehrmandanten-System (S20)</t>
  </si>
  <si>
    <t xml:space="preserve">sehr hoch – CZ-Lokalisierung von Microsoft, viele Partner (u. a. DataSoft-Angebot)</t>
  </si>
  <si>
    <t xml:space="preserve">sehr hoch</t>
  </si>
  <si>
    <t xml:space="preserve">Shortlist</t>
  </si>
  <si>
    <t xml:space="preserve">Günstigste Variante, Pilsen schnell machbar, Plan B (Hosting) möglich; Risiko: Konfigurator/APS nur über Partnerlösungen</t>
  </si>
  <si>
    <t xml:space="preserve">S02, S03</t>
  </si>
  <si>
    <t xml:space="preserve">verifiziert (CZ-Lokalisierung, EUR-Preise)</t>
  </si>
  <si>
    <t xml:space="preserve">Proalpha Group</t>
  </si>
  <si>
    <t xml:space="preserve">proALPHA ERP</t>
  </si>
  <si>
    <t xml:space="preserve">DE</t>
  </si>
  <si>
    <t xml:space="preserve">Business Cloud (managed), On-Prem, hybrid</t>
  </si>
  <si>
    <t xml:space="preserve">hoch – Produktkonfigurator mit Stückliste/Arbeitsplan lt. Hersteller; Mehrmandanten-System (S20)</t>
  </si>
  <si>
    <t xml:space="preserve">mittel – SPC solutions s.r.o., Zlín, als Sales Partner gelistet; Implementierungsumfang + CZ-Lokalisierung im RFI bestätigen</t>
  </si>
  <si>
    <t xml:space="preserve">Mittelstands-Spezialist für Variantenfertiger, DE-Anbieter mit Cloud + On-Prem; CZ über Partner</t>
  </si>
  <si>
    <t xml:space="preserve">S05, S06</t>
  </si>
  <si>
    <t xml:space="preserve">verifiziert (Standortseite) – CZ-Lokalisierung offen</t>
  </si>
  <si>
    <t xml:space="preserve">IFS</t>
  </si>
  <si>
    <t xml:space="preserve">IFS Cloud</t>
  </si>
  <si>
    <t xml:space="preserve">SE (EU)</t>
  </si>
  <si>
    <t xml:space="preserve">SaaS oder kundenbetrieben (On-Prem/Remote)</t>
  </si>
  <si>
    <t xml:space="preserve">hoch – ETO/Projekt, Service, Instandhaltung sehr stark; Konfigurator vorhanden; Multi-Company/Multi-Site</t>
  </si>
  <si>
    <t xml:space="preserve">hoch – Präsenz CZ seit 2000, Partner CDC Data, InfoConsulting</t>
  </si>
  <si>
    <t xml:space="preserve">Funktional breiteste Abdeckung (ETO + Service), EU-Anbieter, beide Betriebsmodelle; teuerste Option</t>
  </si>
  <si>
    <t xml:space="preserve">S09, S10, S11</t>
  </si>
  <si>
    <t xml:space="preserve">verifiziert (CZ-Partner) – Preise Annahme</t>
  </si>
  <si>
    <t xml:space="preserve">Forterro</t>
  </si>
  <si>
    <t xml:space="preserve">abas ERP</t>
  </si>
  <si>
    <t xml:space="preserve">DE (Karlsruhe)</t>
  </si>
  <si>
    <t xml:space="preserve">Cloud, On-Prem</t>
  </si>
  <si>
    <t xml:space="preserve">hoch – Fertigungs-Mittelstand, APS/Feinplanung, Auftrags-/Projektfertigung lt. Hersteller; Mehrmandanten-System (S20)</t>
  </si>
  <si>
    <t xml:space="preserve">mittel – amotIQ s.r.o. als Partner für CZ/SK (Pressemeldung)</t>
  </si>
  <si>
    <t xml:space="preserve">Fertigungsfokus, DE-Anbieter mit Cloud + On-Prem; CZ-Partner belegt, Lokalisierung im RFI bestätigen</t>
  </si>
  <si>
    <t xml:space="preserve">S07, S08, S16</t>
  </si>
  <si>
    <t xml:space="preserve">verifiziert (CZ-Partner, Sekundärquelle)</t>
  </si>
  <si>
    <t xml:space="preserve">Asseco Solutions</t>
  </si>
  <si>
    <t xml:space="preserve">APplus</t>
  </si>
  <si>
    <t xml:space="preserve">Cloud, Hybrid, On-Prem (lt. erp-software.org)</t>
  </si>
  <si>
    <t xml:space="preserve">hoch – Serien-/Variantenfertiger; Zwei-System-Architektur lt. Vorlesung (S20)</t>
  </si>
  <si>
    <t xml:space="preserve">gering – Asseco Solutions CZ vertreibt HELIOS; APplus-Partner/-Lokalisierung in CZ nicht belegt</t>
  </si>
  <si>
    <t xml:space="preserve">Nachrücker</t>
  </si>
  <si>
    <t xml:space="preserve">Fachlich passend, aber kein belegter APplus-Partner in CZ (K4/K6) – im RFI nachfragen</t>
  </si>
  <si>
    <t xml:space="preserve">S13, S14, S20</t>
  </si>
  <si>
    <t xml:space="preserve">teilweise verifiziert – CZ nicht belegt</t>
  </si>
  <si>
    <t xml:space="preserve">SAP</t>
  </si>
  <si>
    <t xml:space="preserve">S/4HANA Cloud Public Edition</t>
  </si>
  <si>
    <t xml:space="preserve">nur SaaS</t>
  </si>
  <si>
    <t xml:space="preserve">Variantenkonfiguration stark; ETO/Projekt im Public-Standard begrenzt; Multi-Site</t>
  </si>
  <si>
    <t xml:space="preserve">hoch (Länderversion CZ)</t>
  </si>
  <si>
    <t xml:space="preserve">ausgeschieden</t>
  </si>
  <si>
    <t xml:space="preserve">Nur SaaS ohne Plan B; lt. SAP-KBA 3744200 kein Outbound-E-Invoicing CZ in DRC; Akzeptanzrisiko nach SAP-Abbruch 2016 („kein SAP“-Karte)</t>
  </si>
  <si>
    <t xml:space="preserve">S15</t>
  </si>
  <si>
    <t xml:space="preserve">verifiziert (KBA) – Rest Einschätzung</t>
  </si>
  <si>
    <t xml:space="preserve">S/4HANA Cloud Private Edition (RISE)</t>
  </si>
  <si>
    <t xml:space="preserve">Private Cloud</t>
  </si>
  <si>
    <t xml:space="preserve">sehr hoch (inkl. Advanced Variant Configuration, PS); Multi-Site</t>
  </si>
  <si>
    <t xml:space="preserve">Für 420 MA / 230 Nutzer überdimensioniert, TCO deutlich über Rahmen, Komplexität wie 2016</t>
  </si>
  <si>
    <t xml:space="preserve">Einschätzung</t>
  </si>
  <si>
    <t xml:space="preserve">Dynamics 365 Finance + Supply Chain Mgmt.</t>
  </si>
  <si>
    <t xml:space="preserve">hoch (regelbasierter Produktkonfigurator, finite Kapazität); Multi-Site</t>
  </si>
  <si>
    <t xml:space="preserve">Listenpreis SCM 182 €/Nutzer/Monat (S04) → 120 Vollnutzer ≈ 1,3 Mio. € reine Lizenz über 5 J.; nur SaaS</t>
  </si>
  <si>
    <t xml:space="preserve">S04</t>
  </si>
  <si>
    <t xml:space="preserve">verifiziert (Preis)</t>
  </si>
  <si>
    <t xml:space="preserve">Infor</t>
  </si>
  <si>
    <t xml:space="preserve">CloudSuite Industrial (SyteLine)</t>
  </si>
  <si>
    <t xml:space="preserve">überwiegend Multi-Tenant-SaaS</t>
  </si>
  <si>
    <t xml:space="preserve">hoch – CPQ/Configure-to-Order, finite APS</t>
  </si>
  <si>
    <t xml:space="preserve">hoch – ITeuro (Gold Channel Partner CZ/SK), Referenz FINIDR mit CSI + CPQ (S12)</t>
  </si>
  <si>
    <t xml:space="preserve">CZ belegt, aber US-Multi-Tenant-Cloud ohne Plan B/Offline (Brenner, Vogt) und geringe DE-Partnerdichte</t>
  </si>
  <si>
    <t xml:space="preserve">S12</t>
  </si>
  <si>
    <t xml:space="preserve">verifiziert (CZ-Referenz)</t>
  </si>
  <si>
    <t xml:space="preserve">Infor LN</t>
  </si>
  <si>
    <t xml:space="preserve">SaaS / On-Prem</t>
  </si>
  <si>
    <t xml:space="preserve">hoch – ETO/Anlagenbau</t>
  </si>
  <si>
    <t xml:space="preserve">Eher Großunternehmen, CZ-Partner nicht belegt (K6)</t>
  </si>
  <si>
    <t xml:space="preserve">Epicor</t>
  </si>
  <si>
    <t xml:space="preserve">Kinetic</t>
  </si>
  <si>
    <t xml:space="preserve">mittel-hoch (Make-to-Order, CPQ)</t>
  </si>
  <si>
    <t xml:space="preserve">DE/CZ-Implementierungspartner nicht belegt (K6)</t>
  </si>
  <si>
    <t xml:space="preserve">PSI</t>
  </si>
  <si>
    <t xml:space="preserve">PSIpenta</t>
  </si>
  <si>
    <t xml:space="preserve">Cloud / On-Prem</t>
  </si>
  <si>
    <t xml:space="preserve">hoch ETO/Einzelfertigung, CTO mittel; Zwei-System-Architektur (S20)</t>
  </si>
  <si>
    <t xml:space="preserve">CZ-Präsenz nicht belegt (K6), Fokus Einzelfertigung statt Serienvarianten</t>
  </si>
  <si>
    <t xml:space="preserve">S20</t>
  </si>
  <si>
    <t xml:space="preserve">ams.Solution</t>
  </si>
  <si>
    <t xml:space="preserve">ams.erp</t>
  </si>
  <si>
    <t xml:space="preserve">sehr hoch ETO (Einzel-/Auftragsfertiger)</t>
  </si>
  <si>
    <t xml:space="preserve">nicht belegt</t>
  </si>
  <si>
    <t xml:space="preserve">Stärke Losgröße-1-Projektgeschäft, aber 60 % des Umsatzes sind CTO-Serienvarianten; CZ fehlt</t>
  </si>
  <si>
    <t xml:space="preserve">Asseco Solutions CZ</t>
  </si>
  <si>
    <t xml:space="preserve">HELIOS Nephrite/Green</t>
  </si>
  <si>
    <t xml:space="preserve">CZ</t>
  </si>
  <si>
    <t xml:space="preserve">keine</t>
  </si>
  <si>
    <t xml:space="preserve">Lokale CZ-Lösung, kein DE-Rollout (K4/K6) – höchstens Pilsen-Insel (widerspricht Ein-System-Ziel)</t>
  </si>
  <si>
    <t xml:space="preserve">S14</t>
  </si>
  <si>
    <t xml:space="preserve">verifiziert</t>
  </si>
  <si>
    <t xml:space="preserve">Odoo</t>
  </si>
  <si>
    <t xml:space="preserve">Odoo Enterprise</t>
  </si>
  <si>
    <t xml:space="preserve">BE (EU)</t>
  </si>
  <si>
    <t xml:space="preserve">gering-mittel (Konfigurator für 2,3 Mio. Varianten fraglich)</t>
  </si>
  <si>
    <t xml:space="preserve">K1 (Konfigurator) und Branchentiefe nicht belegt; Partnerqualität stark schwankend</t>
  </si>
  <si>
    <t xml:space="preserve">Eigen</t>
  </si>
  <si>
    <t xml:space="preserve">Option 0: Modernisierung KVA-WARE (RPG → Java)</t>
  </si>
  <si>
    <t xml:space="preserve">On-Prem</t>
  </si>
  <si>
    <t xml:space="preserve">nur Ist-Funktionen</t>
  </si>
  <si>
    <t xml:space="preserve">ausgeschieden (K.o.)</t>
  </si>
  <si>
    <t xml:space="preserve">Erfüllt K1, K3, K4, K5, K6 nicht; Abhängigkeit verlagert sich nur auf Dienstleister; Beiratsbeschluss „zukunftsfähig“ nicht erfüllt</t>
  </si>
  <si>
    <t xml:space="preserve">S01</t>
  </si>
  <si>
    <t xml:space="preserve">Fallpaket</t>
  </si>
  <si>
    <t xml:space="preserve">Filterlogik</t>
  </si>
  <si>
    <t xml:space="preserve">Filter 1 – Zielgruppe: ERP für diskrete Fertiger im Mittelstand (200–1.000 MA), DACH-Marktpräsenz</t>
  </si>
  <si>
    <t xml:space="preserve">Filter 2 – K.o. K1/K2: Variantenkonfiguration + Projektfertigung im Standard oder über zertifizierte Erweiterung</t>
  </si>
  <si>
    <t xml:space="preserve">Filter 3 – K.o. K4/K6: Lokalisierung CZ + Implementierungspartner in DE UND CZ belegt</t>
  </si>
  <si>
    <t xml:space="preserve">Filter 4 – Wirtschaftlichkeit/Akzeptanz: TCO-Größenordnung passend, Betriebsmodell mit Plan B, Lehren aus 2016</t>
  </si>
  <si>
    <t xml:space="preserve">Kriterium</t>
  </si>
  <si>
    <t xml:space="preserve">Gewicht %</t>
  </si>
  <si>
    <t xml:space="preserve">Punkte Business Central + ISV</t>
  </si>
  <si>
    <t xml:space="preserve">Punkte proALPHA</t>
  </si>
  <si>
    <t xml:space="preserve">Punkte IFS Cloud</t>
  </si>
  <si>
    <t xml:space="preserve">Punkte abas ERP</t>
  </si>
  <si>
    <t xml:space="preserve">Gewichtet Business Central + ISV</t>
  </si>
  <si>
    <t xml:space="preserve">Gewichtet proALPHA</t>
  </si>
  <si>
    <t xml:space="preserve">Gewichtet IFS Cloud</t>
  </si>
  <si>
    <t xml:space="preserve">Gewichtet abas ERP</t>
  </si>
  <si>
    <t xml:space="preserve">Variantenkonfiguration &amp; Variantenstückliste (CTO)</t>
  </si>
  <si>
    <t xml:space="preserve">BC nur über ISV-Erweiterung (PoC nötig); proALPHA-Produktkonfigurator mit Stückliste/Arbeitsplan lt. Hersteller (S06); IFS/abas Konfigurator vorhanden</t>
  </si>
  <si>
    <t xml:space="preserve">Fertigung &amp; Planung (MRP, Kapazität, Engpass Härterei, Rückmeldung)</t>
  </si>
  <si>
    <t xml:space="preserve">BC Standard ohne finite Planung → ISV; proALPHA/IFS/abas mit Kapazitäts-/Feinplanung (abas lt. S08)</t>
  </si>
  <si>
    <t xml:space="preserve">Systemarchitektur Multi-Site (gruppenweite Bestände/Kapazitäten, IC-Aufträge)</t>
  </si>
  <si>
    <t xml:space="preserve">Vorlesung (S21): Multi-Site behandelt IC-Auftrag wie internen Auftrag; BC, proALPHA, abas = Mehrmandanten-Systeme (IC über Belegaustausch); IFS: Gesellschaften + Standorte in einer Datenbank (Einschätzung, PoC)</t>
  </si>
  <si>
    <t xml:space="preserve">Projektgeschäft ETO (Meilensteine, Anzahlung, Nachkalkulation)</t>
  </si>
  <si>
    <t xml:space="preserve">IFS Projektfertigung sehr stark; BC Projekte einfach</t>
  </si>
  <si>
    <t xml:space="preserve">Service &amp; Installed Base (Seriennr., Verträge, Field Service)</t>
  </si>
  <si>
    <t xml:space="preserve">IFS Service/FSM Marktstärke; BC Service Mgmt. Premium, mobil über Partner</t>
  </si>
  <si>
    <t xml:space="preserve">Qualität &amp; Rückverfolgbarkeit (Chargen, Prüfplanung, 8D)</t>
  </si>
  <si>
    <t xml:space="preserve">BC QM über ISV</t>
  </si>
  <si>
    <t xml:space="preserve">Finanzen, Mandanten, Lokalisierung DE/CZ/CH, E-Rechnung</t>
  </si>
  <si>
    <t xml:space="preserve">BC: CZ-Lokalisierung durch Microsoft (S03); proALPHA/abas: CZ-Lokalisierung über Partner – im RFI belegen</t>
  </si>
  <si>
    <t xml:space="preserve">Integration &amp; Technologie (PDM, Salesforce, API, Power BI, Entra ID)</t>
  </si>
  <si>
    <t xml:space="preserve">BC native M365/Power BI/Entra-Integration</t>
  </si>
  <si>
    <t xml:space="preserve">Betriebsmodell &amp; Datensouveränität (SaaS mit Plan B, EU, Offline-Puffer)</t>
  </si>
  <si>
    <t xml:space="preserve">BC US-Anbieter, aber Hosting/On-Prem möglich; proALPHA/abas DE-Anbieter mit Cloud + On-Prem; IFS EU + kundenbetrieben</t>
  </si>
  <si>
    <t xml:space="preserve">Partner DE+CZ &amp; zeitliche Machbarkeit (Pilsen bis Q3/2027)</t>
  </si>
  <si>
    <t xml:space="preserve">BC: viele CZ-Partner, DataSoft kennt BC; proALPHA/abas je ein CZ-Partner (S05, S07); IFS CZ-Partner, aber längere Projekte</t>
  </si>
  <si>
    <t xml:space="preserve">Usability Shopfloor/Lager, CZ-Oberfläche</t>
  </si>
  <si>
    <t xml:space="preserve">BC moderne Web-/Mobile-Oberfläche, CZ-Sprache</t>
  </si>
  <si>
    <t xml:space="preserve">Summe / Nutzwert (max. 5,0)</t>
  </si>
  <si>
    <t xml:space="preserve">Rang</t>
  </si>
  <si>
    <t xml:space="preserve">TCO 5 Jahre (Mio. €, aus Blatt 8)</t>
  </si>
  <si>
    <t xml:space="preserve">BC-Basis-Variante nicht in NWA (reduzierter Scope)</t>
  </si>
  <si>
    <t xml:space="preserve">Nutzwert je Mio. € TCO</t>
  </si>
  <si>
    <t xml:space="preserve">Kosten bewusst NICHT im Nutzwert – getrennte Betrachtung</t>
  </si>
  <si>
    <t xml:space="preserve">Skala: 1 = nicht/kaum erfüllt · 2 = mit Individualentwicklung · 3 = mit Partner-Erweiterung/Einschränkung · 4 = Standard, gut · 5 = Standard, Marktstärke</t>
  </si>
  <si>
    <t xml:space="preserve">Kriterium „Systemarchitektur Multi-Site“ nach Vorlesung (Martin/Kurz 2024; Kurz 2026): Multi-Site-Systeme führen IC-Aufträge wie interne Aufträge, Mehrmandanten-Systeme über Belegaustausch zwischen Mandanten.</t>
  </si>
  <si>
    <t xml:space="preserve">Sensitivitätsanalyse – Nutzwert bei alternativen Gewichtungen</t>
  </si>
  <si>
    <t xml:space="preserve">Szenario</t>
  </si>
  <si>
    <t xml:space="preserve">Business Central + ISV</t>
  </si>
  <si>
    <t xml:space="preserve">proALPHA</t>
  </si>
  <si>
    <t xml:space="preserve">Basis (Empfehlung)  (Gewichte: 14/14/8/7/9/6/11/7/8/9/7)</t>
  </si>
  <si>
    <t xml:space="preserve">Fokus Produktion (Vogt/Lang)  (Gewichte: 20/20/8/7/7/6/9/5/8/5/5)</t>
  </si>
  <si>
    <t xml:space="preserve">Fokus Zeit &amp; Pilsen (Nováková/Haller)  (Gewichte: 11/11/8/5/7/5/14/7/8/17/7)</t>
  </si>
  <si>
    <t xml:space="preserve">Fokus Souveränität (Brenner/BR)  (Gewichte: 13/13/7/7/9/6/9/6/18/6/6)</t>
  </si>
  <si>
    <t xml:space="preserve">Ergebnis: IFS führt funktional in allen Szenarien, proALPHA ist stabil auf Platz 2. BC holt nur bei Fokus Zeit &amp; Pilsen auf, hat aber das beste Verhältnis von Nutzen zu Kosten. → Rangfolge Nutzen robust, Entscheidung hängt an Kosten und Zeit.</t>
  </si>
  <si>
    <t xml:space="preserve">Parameter</t>
  </si>
  <si>
    <t xml:space="preserve">Einheit</t>
  </si>
  <si>
    <t xml:space="preserve">BC Basis (günstige Variante)</t>
  </si>
  <si>
    <t xml:space="preserve">Quelle / Annahme</t>
  </si>
  <si>
    <t xml:space="preserve">Vollnutzer</t>
  </si>
  <si>
    <t xml:space="preserve">Anzahl</t>
  </si>
  <si>
    <t xml:space="preserve">Mengengerüst bereinigt (W-07)</t>
  </si>
  <si>
    <t xml:space="preserve">Light-/Team-User</t>
  </si>
  <si>
    <t xml:space="preserve">Shopfloor-Geräte</t>
  </si>
  <si>
    <t xml:space="preserve">Annahme: 30 geteilte Tablets/Terminals</t>
  </si>
  <si>
    <t xml:space="preserve">Preis Vollnutzer</t>
  </si>
  <si>
    <t xml:space="preserve">€/Monat</t>
  </si>
  <si>
    <t xml:space="preserve">BC Premium 95,30 € lt. Microsoft-Preisliste DE (S02); proALPHA/IFS/abas: ANNAHME (keine öffentlichen Listenpreise)</t>
  </si>
  <si>
    <t xml:space="preserve">Preis Light-User</t>
  </si>
  <si>
    <t xml:space="preserve">BC Team Members 6,90 € (S02); Rest ANNAHME</t>
  </si>
  <si>
    <t xml:space="preserve">Preis Gerät</t>
  </si>
  <si>
    <t xml:space="preserve">ANNAHME (BC-Gerätelizenz in EUR nicht öffentlich geprüft)</t>
  </si>
  <si>
    <t xml:space="preserve">Branchen-Add-ons (Konfigurator, APS, QM, Service mobil)</t>
  </si>
  <si>
    <t xml:space="preserve">€/Vollnutzer/Monat</t>
  </si>
  <si>
    <t xml:space="preserve">ANNAHME: ISV-Erweiterungen auf AppSource; bei proALPHA/IFS/abas im Standard</t>
  </si>
  <si>
    <t xml:space="preserve">Hosting Private Cloud</t>
  </si>
  <si>
    <t xml:space="preserve">€/Jahr</t>
  </si>
  <si>
    <t xml:space="preserve">ANNAHME Betrieb im DE-RZ des Anbieters/Partners</t>
  </si>
  <si>
    <t xml:space="preserve">Subskriptionsanteil Jahr 1 (2027)</t>
  </si>
  <si>
    <t xml:space="preserve">%</t>
  </si>
  <si>
    <t xml:space="preserve">Ramp-up: Projekt- und Pilsen-Nutzer ab Q2/2027</t>
  </si>
  <si>
    <t xml:space="preserve">Externe Beratertage</t>
  </si>
  <si>
    <t xml:space="preserve">PT</t>
  </si>
  <si>
    <t xml:space="preserve">ANNAHME aus Projektgröße (CTO+ETO+3 Länder); IFS umfangreicher</t>
  </si>
  <si>
    <t xml:space="preserve">Tagessatz extern</t>
  </si>
  <si>
    <t xml:space="preserve">€/PT</t>
  </si>
  <si>
    <t xml:space="preserve">ANNAHME marktüblicher DE/CZ-Mischsatz</t>
  </si>
  <si>
    <t xml:space="preserve">Interne Aufwände (Key User, IT)</t>
  </si>
  <si>
    <t xml:space="preserve">€ einmalig</t>
  </si>
  <si>
    <t xml:space="preserve">Mail Haller 19.01.: 350–450 T€</t>
  </si>
  <si>
    <t xml:space="preserve">Datenbereinigung &amp; Migration (extern)</t>
  </si>
  <si>
    <t xml:space="preserve">ANNAHME; Stücklisten-Qualität schlecht (Int. 04)</t>
  </si>
  <si>
    <t xml:space="preserve">Schnittstellen (PDM, Salesforce, EDI, Kardex, Carrier)</t>
  </si>
  <si>
    <t xml:space="preserve">ANNAHME 5–6 Schnittstellen</t>
  </si>
  <si>
    <t xml:space="preserve">Hardware Shopfloor/Scanner (BDE-Ersatz)</t>
  </si>
  <si>
    <t xml:space="preserve">ANNAHME 30 Tablets + 25 Scanner + Drucker</t>
  </si>
  <si>
    <t xml:space="preserve">Schulung &amp; Change (inkl. BR-Forderung)</t>
  </si>
  <si>
    <t xml:space="preserve">ANNAHME</t>
  </si>
  <si>
    <t xml:space="preserve">Risikopuffer auf Einmalkosten</t>
  </si>
  <si>
    <t xml:space="preserve">Erfahrungswert; 2016: Kostenüberschreitung</t>
  </si>
  <si>
    <t xml:space="preserve">Anteil Einmalkosten in Jahr 1</t>
  </si>
  <si>
    <t xml:space="preserve">Rest in Jahr 2</t>
  </si>
  <si>
    <t xml:space="preserve">Betrieb/Support Partner (AMS)</t>
  </si>
  <si>
    <t xml:space="preserve">ANNAHME; Jahr 1 zu 50 %</t>
  </si>
  <si>
    <t xml:space="preserve">2. Internetleitung Singen</t>
  </si>
  <si>
    <t xml:space="preserve">Int. 04 Brenner: ca. 18 T€/Jahr</t>
  </si>
  <si>
    <t xml:space="preserve">Spanne niedrig (Faktor)</t>
  </si>
  <si>
    <t xml:space="preserve">Faktor</t>
  </si>
  <si>
    <t xml:space="preserve">ANNAHME: günstiges Angebot, wenig Zusatzaufwand</t>
  </si>
  <si>
    <t xml:space="preserve">Spanne hoch (Faktor)</t>
  </si>
  <si>
    <t xml:space="preserve">ANNAHME: typische Überschreitung bei Mehraufwand Stammdaten/Konfigurator</t>
  </si>
  <si>
    <t xml:space="preserve">Kostenblock (T€ = Formeln aus Blatt 7)</t>
  </si>
  <si>
    <t xml:space="preserve">Erläuterung</t>
  </si>
  <si>
    <t xml:space="preserve">Subskription/Lizenz p. a. (Vollausbau)</t>
  </si>
  <si>
    <t xml:space="preserve">Nutzer × Preis × 12 + Hosting</t>
  </si>
  <si>
    <t xml:space="preserve">Einmalkosten Einführung</t>
  </si>
  <si>
    <t xml:space="preserve">Beratung + intern + Migration + Schnittstellen + Hardware + Schulung</t>
  </si>
  <si>
    <t xml:space="preserve">davon externe Beratung</t>
  </si>
  <si>
    <t xml:space="preserve">PT × Tagessatz</t>
  </si>
  <si>
    <t xml:space="preserve">Risikopuffer</t>
  </si>
  <si>
    <t xml:space="preserve">% auf Einmalkosten</t>
  </si>
  <si>
    <t xml:space="preserve">Subskription 5 Jahre</t>
  </si>
  <si>
    <t xml:space="preserve">Jahr 1 anteilig, Jahre 2–5 voll</t>
  </si>
  <si>
    <t xml:space="preserve">Betrieb 5 Jahre (AMS + 2. Leitung)</t>
  </si>
  <si>
    <t xml:space="preserve">AMS Jahr 1 zu 50 %</t>
  </si>
  <si>
    <t xml:space="preserve">Einmalkosten inkl. Puffer</t>
  </si>
  <si>
    <t xml:space="preserve">TCO 5 Jahre (2027–2031)</t>
  </si>
  <si>
    <t xml:space="preserve">Summe</t>
  </si>
  <si>
    <t xml:space="preserve">TCO in % vom Umsatz p. a.</t>
  </si>
  <si>
    <t xml:space="preserve">Basis 82,7 Mio. € konsolidiert</t>
  </si>
  <si>
    <t xml:space="preserve">Abweichung zum Projektauftrag (1,2 Mio. €)</t>
  </si>
  <si>
    <t xml:space="preserve">nicht gleiche Bezugsgröße – nur Orientierung</t>
  </si>
  <si>
    <t xml:space="preserve">Abweichung zur CFO-Obergrenze (1,5 Mio. € TCO)</t>
  </si>
  <si>
    <t xml:space="preserve">gleiche Bezugsgröße</t>
  </si>
  <si>
    <t xml:space="preserve">Kosten in der Logik des Projektauftrags</t>
  </si>
  <si>
    <t xml:space="preserve">Einführung inkl. Puffer + 3 Jahre Lizenzen (Jahr 1 anteilig) – vergleichbar mit 1,2 Mio. €</t>
  </si>
  <si>
    <t xml:space="preserve">Vollkosten je Nutzer und Monat</t>
  </si>
  <si>
    <t xml:space="preserve">TCO / (230 Named User × 60 Monate)</t>
  </si>
  <si>
    <t xml:space="preserve">TCO-Spanne niedrig</t>
  </si>
  <si>
    <t xml:space="preserve">TCO × Faktor niedrig (Blatt 7)</t>
  </si>
  <si>
    <t xml:space="preserve">TCO-Spanne hoch</t>
  </si>
  <si>
    <t xml:space="preserve">TCO × Faktor hoch (Blatt 7)</t>
  </si>
  <si>
    <t xml:space="preserve">Jahresverlauf (€)</t>
  </si>
  <si>
    <t xml:space="preserve">Jahr</t>
  </si>
  <si>
    <t xml:space="preserve">Jahr 1</t>
  </si>
  <si>
    <t xml:space="preserve">Jahr 2</t>
  </si>
  <si>
    <t xml:space="preserve">Jahr 3</t>
  </si>
  <si>
    <t xml:space="preserve">Jahr 4</t>
  </si>
  <si>
    <t xml:space="preserve">Jahr 5</t>
  </si>
  <si>
    <t xml:space="preserve">Kontrolle Summe Jahre</t>
  </si>
  <si>
    <t xml:space="preserve">Nicht enthalten: Weiterbetrieb KVA-WARE (Leasing Power9 bis 06/2029, Nur-Lese-Archiv), Salesforce-Verlängerung 03/2027–03/2028 (~68 T€), E-Rechnungs-Interimslösung 2027 (Annahme 15–25 T€), Lessons-Learned-/Change-Begleitung durch Dritte.</t>
  </si>
  <si>
    <t xml:space="preserve">Ergebnis: Keine realistische Option erreicht 1,2 Mio. € (Projektauftrag) oder &lt; 1 Mio. € (CEO). Die CFO-Obergrenze 1,5 Mio. € TCO wird um 0,7–2,3 Mio. € überschritten (Spanne niedrig/hoch: 1,9–5,1 Mio. €) → Budgetrahmen ist GF-/Beiratsentscheidung.</t>
  </si>
  <si>
    <t xml:space="preserve">Einordnung: 2,2–3,8 Mio. € über 5 Jahre = 0,5–0,9 % vom Umsatz p. a. (IT-Kosten heute 1,6 % ohne Key-User- und Excel-Aufwände).</t>
  </si>
  <si>
    <t xml:space="preserve">Nutzenhebel</t>
  </si>
  <si>
    <t xml:space="preserve">min. T€ p. a.</t>
  </si>
  <si>
    <t xml:space="preserve">max. T€ p. a.</t>
  </si>
  <si>
    <t xml:space="preserve">Bemerkung</t>
  </si>
  <si>
    <t xml:space="preserve">Bestandsreduktion 18,9 → ~15 Mio. € (Kapitalbindung 5 %)</t>
  </si>
  <si>
    <t xml:space="preserve">Int. 03 Haller: 3–4 Mio. € Liquidität</t>
  </si>
  <si>
    <t xml:space="preserve">einmaliger Liquiditätseffekt 3–4 Mio. €</t>
  </si>
  <si>
    <t xml:space="preserve">Einkaufsbündelung Singen/Pilsen</t>
  </si>
  <si>
    <t xml:space="preserve">Int. 07 Frick: 300–500 T€ (halbiert, ungeprüft)</t>
  </si>
  <si>
    <t xml:space="preserve">konservativ 50 % angesetzt</t>
  </si>
  <si>
    <t xml:space="preserve">Entlastung Verwaltung (2–3 FTE, Umqualifizierung statt Abbau)</t>
  </si>
  <si>
    <t xml:space="preserve">Int. 03; BR-Forderung keine Kündigungen</t>
  </si>
  <si>
    <t xml:space="preserve">Kapazität für Wachstum 120 Mio. €</t>
  </si>
  <si>
    <t xml:space="preserve">Doppelerfassung Innendienst (25 % von 11 MA)</t>
  </si>
  <si>
    <t xml:space="preserve">Int. 05 Petersen</t>
  </si>
  <si>
    <t xml:space="preserve">teilweise realisierbar</t>
  </si>
  <si>
    <t xml:space="preserve">Rückrufrisiko eingrenzen (Fall 2024: 180 T€)</t>
  </si>
  <si>
    <t xml:space="preserve">Int. 10 Rieger</t>
  </si>
  <si>
    <t xml:space="preserve">Erwartungswert</t>
  </si>
  <si>
    <t xml:space="preserve">Salesforce-Ablösung ab 2028 (optional)</t>
  </si>
  <si>
    <t xml:space="preserve">IT-Historie: 68 T€/Jahr</t>
  </si>
  <si>
    <t xml:space="preserve">nur bei Variante ERP-CRM</t>
  </si>
  <si>
    <t xml:space="preserve">Summe p. a. (ab Vollbetrieb 2029)</t>
  </si>
  <si>
    <t xml:space="preserve">ohne einmaligen Liquiditätseffekt Bestand 3–4 Mio. €</t>
  </si>
  <si>
    <t xml:space="preserve">Kumuliert 2029–2031 (3 Jahre)</t>
  </si>
  <si>
    <t xml:space="preserve">Amortisation BC ca. 2031–2033, proALPHA/abas/IFS später; zusätzlich einmalig 3–4 Mio. € Liquidität aus Bestandsabbau</t>
  </si>
  <si>
    <t xml:space="preserve">Nicht quantifiziert: Risiko „Do nothing“ – Ausfall KVA-WARE nach Ruhestand Brugger (1 Woche Stillstand ≈ 1,6 Mio. € Umsatz), Ausfall NAV Pilsen (40 % der Gehäuse), Strafen E-Rechnung/Exportkontrolle.</t>
  </si>
  <si>
    <t xml:space="preserve">Quelle (Harvard-Stil)</t>
  </si>
  <si>
    <t xml:space="preserve">Art / Prüfstatus</t>
  </si>
  <si>
    <t xml:space="preserve">Verwendet für</t>
  </si>
  <si>
    <t xml:space="preserve">HTWG Konstanz (2026) Fallpaket KVA – ERP-Auswahl (Aufgabenstellung, Ordner 01–07). Moodle, Kurs ERP-Systeme.</t>
  </si>
  <si>
    <t xml:space="preserve">Alle Fallfakten</t>
  </si>
  <si>
    <t xml:space="preserve">S02</t>
  </si>
  <si>
    <t xml:space="preserve">Microsoft (2026) Dynamics 365 Business Central – Preise. https://www.microsoft.com/de-de/dynamics-365/products/business-central/pricing (Abruf 29.10.2026).</t>
  </si>
  <si>
    <t xml:space="preserve">Hersteller, verifiziert</t>
  </si>
  <si>
    <t xml:space="preserve">Essentials 69,30 €, Premium 95,30 €, Team Members 6,90 € je Nutzer/Monat</t>
  </si>
  <si>
    <t xml:space="preserve">S03</t>
  </si>
  <si>
    <t xml:space="preserve">Microsoft Learn (2025) Czech Local Functionality – Business Central. https://learn.microsoft.com/dynamics365/business-central/localfunctionality/czech/czech-local-functionality (Abruf 29.10.2026).</t>
  </si>
  <si>
    <t xml:space="preserve">CZ-Lokalisierung durch Microsoft</t>
  </si>
  <si>
    <t xml:space="preserve">Microsoft (2026) Dynamics 365 Supply Chain Management – Preise. https://www.microsoft.com/de-de/dynamics-365/products/supply-chain-management/pricing (Abruf 29.10.2026).</t>
  </si>
  <si>
    <t xml:space="preserve">182 €, Premium 259,90 € je Nutzer/Monat</t>
  </si>
  <si>
    <t xml:space="preserve">S05</t>
  </si>
  <si>
    <t xml:space="preserve">Proalpha (2026) Proalpha locations. https://proalpha.com/en/about-us/proalpha-locations (Abruf 29.10.2026).</t>
  </si>
  <si>
    <t xml:space="preserve">Hersteller, verifiziert (Suche)</t>
  </si>
  <si>
    <t xml:space="preserve">SPC solutions s.r.o., Zlín: Sales Partner</t>
  </si>
  <si>
    <t xml:space="preserve">S06</t>
  </si>
  <si>
    <t xml:space="preserve">Proalpha (2026) Produktkonfigurator. https://www.proalpha.com/de/erp-system-mittelstand/prozesse/produktkonfigurator (Abruf 29.10.2026).</t>
  </si>
  <si>
    <t xml:space="preserve">Hersteller (Herstellerangabe)</t>
  </si>
  <si>
    <t xml:space="preserve">Konfigurator mit Stückliste/Arbeitsplan – im PoC prüfen</t>
  </si>
  <si>
    <t xml:space="preserve">S07</t>
  </si>
  <si>
    <t xml:space="preserve">openPR (o. J.) Czech distributor of screws selects abas ERP. https://www.openpr.com/news/30626/czech-distributor-of-screws-selects-abas-erp.html (Abruf 29.10.2026).</t>
  </si>
  <si>
    <t xml:space="preserve">Pressemeldung</t>
  </si>
  <si>
    <t xml:space="preserve">amotIQ s.r.o. als abas-Partner CZ/SK</t>
  </si>
  <si>
    <t xml:space="preserve">S08</t>
  </si>
  <si>
    <t xml:space="preserve">abas (2026) Fertigung. https://abas-erp.com/de/produkt/fertigung (Abruf 29.10.2026).</t>
  </si>
  <si>
    <t xml:space="preserve">APS/Feinplanung, Projektfertigung</t>
  </si>
  <si>
    <t xml:space="preserve">S09</t>
  </si>
  <si>
    <t xml:space="preserve">IFS (2026) Find a partner: CDC Data. https://www.ifs.com/en/partners/find-a-partner/cdc-data (Abruf 29.10.2026).</t>
  </si>
  <si>
    <t xml:space="preserve">IFS-Partner CZ/SK</t>
  </si>
  <si>
    <t xml:space="preserve">S10</t>
  </si>
  <si>
    <t xml:space="preserve">Lupa.cz (2010) IFS slaví 10 let na českém a slovenském trhu. https://www.lupa.cz/tiskove-zpravy/ifs-slavi-10-let-na-ceskem-a-slovenskem-trhu/ (Abruf 29.10.2026).</t>
  </si>
  <si>
    <t xml:space="preserve">Pressemitteilung</t>
  </si>
  <si>
    <t xml:space="preserve">IFS in CZ seit 2000</t>
  </si>
  <si>
    <t xml:space="preserve">S11</t>
  </si>
  <si>
    <t xml:space="preserve">SoftwareConnect (2025) IFS Cloud Review. https://softwareconnect.com/reviews/ifs-cloud/ (Abruf 29.10.2026).</t>
  </si>
  <si>
    <t xml:space="preserve">Sekundärquelle</t>
  </si>
  <si>
    <t xml:space="preserve">ETO, Deployment-Optionen</t>
  </si>
  <si>
    <t xml:space="preserve">Infor (o. J.) FINIDR meets demand for more complex production capabilities with Infor SyteLine and Infor CPQ. https://www.infor.com/resources/finidr-meets-complex-production-demands-with-infor (Abruf 29.10.2026).</t>
  </si>
  <si>
    <t xml:space="preserve">Hersteller-Fallstudie</t>
  </si>
  <si>
    <t xml:space="preserve">ITeuro Gold Partner CZ/SK</t>
  </si>
  <si>
    <t xml:space="preserve">S13</t>
  </si>
  <si>
    <t xml:space="preserve">erp-software.org (2025) APplus. https://erp-software.org/software/applus/ (Abruf 29.10.2026).</t>
  </si>
  <si>
    <t xml:space="preserve">Zielgruppe, Betriebsmodelle, keine Preisliste</t>
  </si>
  <si>
    <t xml:space="preserve">Forbes Česko (2024) Helios je moderní nástroj pro firmy v 21. století. https://forbes.cz/helios-je-moderni-nastroj-pro-firmy-v-21-stoleti/ (Abruf 29.10.2026).</t>
  </si>
  <si>
    <t xml:space="preserve">Presse</t>
  </si>
  <si>
    <t xml:space="preserve">Asseco CZ vertreibt HELIOS</t>
  </si>
  <si>
    <t xml:space="preserve">SAP (2025) Knowledge Base Article 3744200. https://userapps.support.sap.com/sap/support/knowledge/en/3744200 (Abruf 29.10.2026).</t>
  </si>
  <si>
    <t xml:space="preserve">Kein Outbound-E-Invoicing CZ in DRC (Public Edition)</t>
  </si>
  <si>
    <t xml:space="preserve">S16</t>
  </si>
  <si>
    <t xml:space="preserve">Industrial Production (2019) Forterro kauft abas Software. https://www.industrial-production.de/software/erp-software-forterro-kauft-abas-software.htm (Abruf 29.10.2026).</t>
  </si>
  <si>
    <t xml:space="preserve">Fachpresse</t>
  </si>
  <si>
    <t xml:space="preserve">abas gehört zu Forterro</t>
  </si>
  <si>
    <t xml:space="preserve">S17</t>
  </si>
  <si>
    <t xml:space="preserve">IHK Region Stuttgart (2026) E-Rechnungen – Ende der Übergangsfrist für Unternehmen mit mehr als 800.000 Euro Umsatz. https://www.ihk.de/stuttgart/fuer-unternehmen/recht-und-steuern/steuerrecht/steuermeldungen/e-rechnungen-5864496 (Abruf 29.10.2026).</t>
  </si>
  <si>
    <t xml:space="preserve">Kammer</t>
  </si>
  <si>
    <t xml:space="preserve">Ausstellungspflicht ab 01.01.2027 bei Vorjahresumsatz &gt; 800 T€</t>
  </si>
  <si>
    <t xml:space="preserve">S18</t>
  </si>
  <si>
    <t xml:space="preserve">Bundesministerium der Finanzen (2026) FAQ E-Rechnung. https://www.bundesfinanzministerium.de/Content/DE/FAQ/e-rechnung.html (Abruf durch Projektgruppe 29.10.2026).</t>
  </si>
  <si>
    <t xml:space="preserve">Behörde (Primärquelle)</t>
  </si>
  <si>
    <t xml:space="preserve">Übergangsregeln – Originaltext prüfen</t>
  </si>
  <si>
    <t xml:space="preserve">S19</t>
  </si>
  <si>
    <t xml:space="preserve">usd AG (2025) NIS2UmsuCG offiziell in Kraft. https://www.usd.de/nis2umsucg-offiziell-in-kraft/ (Abruf 29.10.2026).</t>
  </si>
  <si>
    <t xml:space="preserve">In Kraft seit 06.12.2025</t>
  </si>
  <si>
    <t xml:space="preserve">Kurz, F. (2026) ERP-Systeme, Teil 1. Vorlesungsunterlagen, HTWG Konstanz.</t>
  </si>
  <si>
    <t xml:space="preserve">Vorlesung</t>
  </si>
  <si>
    <t xml:space="preserve">Länderversionen, ERP-Systemarchitekturen (Multi-Site/Mehrmandanten/Zwei-System), ZUGFeRD</t>
  </si>
  <si>
    <t xml:space="preserve">S21</t>
  </si>
  <si>
    <t xml:space="preserve">Martin, R. und Kurz, F. (2024) ERP-Systeme, Teil 2. Vorlesungsunterlagen, HTWG Konstanz.</t>
  </si>
  <si>
    <t xml:space="preserve">Multi-Site vs. Mehrmandanten, IC-Auftrag, SaaS vs. Standardsoftware, „Datenquellen [zu Marktanteilen] meist zweifelhaft“</t>
  </si>
  <si>
    <t xml:space="preserve">S22</t>
  </si>
  <si>
    <t xml:space="preserve">Gronau, N. (2004) Enterprise Resource Planning und Supply Chain Management. München: Oldenbourg (zit. nach S20/S21).</t>
  </si>
  <si>
    <t xml:space="preserve">Fachliteratur</t>
  </si>
  <si>
    <t xml:space="preserve">Vor-/Nachteile ERP</t>
  </si>
  <si>
    <t xml:space="preserve">S23</t>
  </si>
  <si>
    <t xml:space="preserve">Buxmann, P. et al. (o. J.) Software as a Service. TU Darmstadt (zit. nach S21).</t>
  </si>
  <si>
    <t xml:space="preserve">Vor-/Nachteile SaaS</t>
  </si>
  <si>
    <t xml:space="preserve">Information</t>
  </si>
  <si>
    <t xml:space="preserve">Fundstelle</t>
  </si>
  <si>
    <t xml:space="preserve">Warum irreführend / irrelevant</t>
  </si>
  <si>
    <t xml:space="preserve">Umgang</t>
  </si>
  <si>
    <t xml:space="preserve">Lastenheft 2015: Zahlen (220 MA, 31.000 Artikel, Pilsen 25 MA), Ziel SAP ERP 6.0</t>
  </si>
  <si>
    <t xml:space="preserve">02_Projekt/Lastenheft v0.7</t>
  </si>
  <si>
    <t xml:space="preserve">11 Jahre alt, nie freigegeben, Mengengerüst und Organisation überholt</t>
  </si>
  <si>
    <t xml:space="preserve">Nur fachliche Ideen übernommen (Phantombaugruppen, Meilensteinfaktura); keine Zahl verwendet</t>
  </si>
  <si>
    <t xml:space="preserve">Anekdoten: Freund „mit Business Central super zufrieden“, anderer „schlecht mit S/4 Cloud“</t>
  </si>
  <si>
    <t xml:space="preserve">Interview 01 Kessler</t>
  </si>
  <si>
    <t xml:space="preserve">Einzelmeinungen ohne Bezug zu KVA-Prozessen</t>
  </si>
  <si>
    <t xml:space="preserve">Nicht in Bewertung; stattdessen Referenzbesuche bei vergleichbaren Variantenfertigern</t>
  </si>
  <si>
    <t xml:space="preserve">Anbieter „von der Messe, nur Mittelstand, Süddeutschland“ – Name unbekannt</t>
  </si>
  <si>
    <t xml:space="preserve">Interview 02 Vogt</t>
  </si>
  <si>
    <t xml:space="preserve">Nicht prüfbar, persönliche Präferenz (T-011)</t>
  </si>
  <si>
    <t xml:space="preserve">Gestrichen; regionale Partnernähe steckt im Kriterium Partner DE</t>
  </si>
  <si>
    <t xml:space="preserve">Anonyme Karte „kein SAP“</t>
  </si>
  <si>
    <t xml:space="preserve">Flipchart 2</t>
  </si>
  <si>
    <t xml:space="preserve">Stimmungsbild, keine Anforderung</t>
  </si>
  <si>
    <t xml:space="preserve">Nur als Akzeptanzrisiko gewertet, nicht als Ausschlussgrund allein</t>
  </si>
  <si>
    <t xml:space="preserve">„ERP mit integrierter KI, die Anfragen automatisch beantwortet“</t>
  </si>
  <si>
    <t xml:space="preserve">Interview 01 / A-007</t>
  </si>
  <si>
    <t xml:space="preserve">Unkonkret, löst kein Kernproblem</t>
  </si>
  <si>
    <t xml:space="preserve">Kann; nur als Roadmap-Aspekt</t>
  </si>
  <si>
    <t xml:space="preserve">Konfigurator offline auf dem iPad mit 3D-Modell beim Kunden</t>
  </si>
  <si>
    <t xml:space="preserve">Interview 05 Moser / V-002</t>
  </si>
  <si>
    <t xml:space="preserve">Lösungswunsch; 3D liegt im CAD; erhöht K.o.-Risiko</t>
  </si>
  <si>
    <t xml:space="preserve">Phase 2; Muss ist nur ein integriertes Regelwerk</t>
  </si>
  <si>
    <t xml:space="preserve">Oberfläche Rumänisch/Türkisch für 2 Lagermitarbeiter</t>
  </si>
  <si>
    <t xml:space="preserve">Interview 08 Hummel</t>
  </si>
  <si>
    <t xml:space="preserve">Randfall</t>
  </si>
  <si>
    <t xml:space="preserve">Kann; Piktogramm-/Scanner-Apps</t>
  </si>
  <si>
    <t xml:space="preserve">„30.000 Standardgetriebe pro Jahr“</t>
  </si>
  <si>
    <t xml:space="preserve">Zahl unplausibel (Produktion: 22.000)</t>
  </si>
  <si>
    <t xml:space="preserve">Planwert 22.000</t>
  </si>
  <si>
    <t xml:space="preserve">Wehrtechnik-Kunde: „Daten bei Amazon = Problem“ – „von einem Kunden gehört“</t>
  </si>
  <si>
    <t xml:space="preserve">Kein Dokument; Mail Brenner 21.01.: aktuell keine Vorgabe</t>
  </si>
  <si>
    <t xml:space="preserve">Mögliche künftige Anforderung (Kann), nicht K.o.</t>
  </si>
  <si>
    <t xml:space="preserve">„Sehr günstiges tschechisches ERP“ einer Schwesterfirma</t>
  </si>
  <si>
    <t xml:space="preserve">Nováková empfiehlt es selbst nicht für die Gruppe</t>
  </si>
  <si>
    <t xml:space="preserve">Nicht berücksichtigt (HELIOS als Vertreter in Longlist)</t>
  </si>
  <si>
    <t xml:space="preserve">Schnelles separates Cloud-ERP für Pilsen als 6-Monats-Brücke</t>
  </si>
  <si>
    <t xml:space="preserve">Interview 11 Dvořák</t>
  </si>
  <si>
    <t xml:space="preserve">Doppelmigration, neue Insel</t>
  </si>
  <si>
    <t xml:space="preserve">Abgelehnt; Pilsen als Pilot auf Ziel-ERP</t>
  </si>
  <si>
    <t xml:space="preserve">Liefertreue 71 %</t>
  </si>
  <si>
    <t xml:space="preserve">Controlling / Folien</t>
  </si>
  <si>
    <t xml:space="preserve">Gemessen gegen letzten bestätigten Termin = geschönt</t>
  </si>
  <si>
    <t xml:space="preserve">58 % als Ausgangswert</t>
  </si>
  <si>
    <t xml:space="preserve">Umsatz 86,4 Mio. €</t>
  </si>
  <si>
    <t xml:space="preserve">Unternehmensprofil</t>
  </si>
  <si>
    <t xml:space="preserve">Summe der Einzelabschlüsse, nicht konsolidiert</t>
  </si>
  <si>
    <t xml:space="preserve">82,7 Mio. € für Kennzahlen</t>
  </si>
  <si>
    <t xml:space="preserve">„Alle 340 Listen müssen verfügbar sein“</t>
  </si>
  <si>
    <t xml:space="preserve">Lastenheft 2015 / A-010</t>
  </si>
  <si>
    <t xml:space="preserve">Nur ca. 40 genutzt; war 2016 unerfüllbar</t>
  </si>
  <si>
    <t xml:space="preserve">Top-40 nach Nutzungsstatistik</t>
  </si>
  <si>
    <t xml:space="preserve">„10 Jahre Historie im neuen System“</t>
  </si>
  <si>
    <t xml:space="preserve">A-009 Vertrieb mündlich</t>
  </si>
  <si>
    <t xml:space="preserve">Teuer, schlechte Datenqualität, kein Nutzen im Tagesgeschäft</t>
  </si>
  <si>
    <t xml:space="preserve">Archiv statt Migration</t>
  </si>
  <si>
    <t xml:space="preserve">Modernisierung RPG→Java für 300–400 T€</t>
  </si>
  <si>
    <t xml:space="preserve">Interview 02 / Mail Vogt</t>
  </si>
  <si>
    <t xml:space="preserve">Kein Angebot vorliegend; löst Funktionslücken nicht</t>
  </si>
  <si>
    <t xml:space="preserve">Als Option 0 fair geprüft und verworfen</t>
  </si>
  <si>
    <t xml:space="preserve">Einsparung Einkaufsbündelung 300–500 T€ p. a.</t>
  </si>
  <si>
    <t xml:space="preserve">Interview 07 Frick</t>
  </si>
  <si>
    <t xml:space="preserve">Unbelegte Eigenschätzung</t>
  </si>
  <si>
    <t xml:space="preserve">Im Business Case halbiert</t>
  </si>
  <si>
    <t xml:space="preserve">LkSG „ab 1.000 MA, noch nicht relevant“, CO₂-Fußabdruck, IoT/Predictive Maintenance</t>
  </si>
  <si>
    <t xml:space="preserve">Interview 07, 09</t>
  </si>
  <si>
    <t xml:space="preserve">Für die Systemauswahl Phase 1 nicht entscheidend</t>
  </si>
  <si>
    <t xml:space="preserve">Kann/Phase 2; nur offene API gefordert</t>
  </si>
  <si>
    <t xml:space="preserve">Umbau Organigramm 01.07.2026 (AV + Produktion)</t>
  </si>
  <si>
    <t xml:space="preserve">Organigramm</t>
  </si>
  <si>
    <t xml:space="preserve">Ohne Einfluss auf Systemauswahl</t>
  </si>
  <si>
    <t xml:space="preserve">Nicht berücksichtigt</t>
  </si>
  <si>
    <t xml:space="preserve">„Nehmen Sie, was die Produktion versteht. Die Buchhaltung kommt mit allem klar.“</t>
  </si>
  <si>
    <t xml:space="preserve">Interview 04 Brugger</t>
  </si>
  <si>
    <t xml:space="preserve">Meinung; Finanzen/Konsolidierung sind K.o.-relevant</t>
  </si>
  <si>
    <t xml:space="preserve">Nicht als Kriterium übernommen</t>
  </si>
  <si>
    <t xml:space="preserve">System</t>
  </si>
  <si>
    <t xml:space="preserve">Lizenzmodell</t>
  </si>
  <si>
    <t xml:space="preserve">Nutzerarten</t>
  </si>
  <si>
    <t xml:space="preserve">Shopfloor/Lager</t>
  </si>
  <si>
    <t xml:space="preserve">Kauf möglich?</t>
  </si>
  <si>
    <t xml:space="preserve">Konsequenz für KVA</t>
  </si>
  <si>
    <t xml:space="preserve">Prüfstatus</t>
  </si>
  <si>
    <t xml:space="preserve">Business Central</t>
  </si>
  <si>
    <t xml:space="preserve">Subskription pro Named User/Monat (SaaS); On-Prem/Hosting über Partner</t>
  </si>
  <si>
    <t xml:space="preserve">Essentials 69,30 €, Premium 95,30 € (nötig für Fertigung + Service), Team Members 6,90 € (S02)</t>
  </si>
  <si>
    <t xml:space="preserve">Gerätelizenz für geteilte Tablets/Terminals</t>
  </si>
  <si>
    <t xml:space="preserve">On-Prem-Lizenzierung über Partner – Konditionen prüfen</t>
  </si>
  <si>
    <t xml:space="preserve">120 Premium + 110 Team Members + 30 Geräte; Branchen-Apps meist zusätzlich pro User/Monat</t>
  </si>
  <si>
    <t xml:space="preserve">EUR-Preise verifiziert (S02)</t>
  </si>
  <si>
    <t xml:space="preserve">Kauflizenz + Wartung oder Subskription (Business Cloud)</t>
  </si>
  <si>
    <t xml:space="preserve">Rollen-/Nutzerlizenzen</t>
  </si>
  <si>
    <t xml:space="preserve">im RFP abfragen</t>
  </si>
  <si>
    <t xml:space="preserve">ja (lt. Anbieterauftritt) – prüfen</t>
  </si>
  <si>
    <t xml:space="preserve">Passt zu Vogt (Kauf möglich) und CFO (Cloud möglich)</t>
  </si>
  <si>
    <t xml:space="preserve">ANNAHME – im RFP validieren</t>
  </si>
  <si>
    <t xml:space="preserve">Subskription (auch bei kundenbetriebenem Betrieb)</t>
  </si>
  <si>
    <t xml:space="preserve">Vollnutzer / eingeschränkte Nutzer</t>
  </si>
  <si>
    <t xml:space="preserve">im RFP klären</t>
  </si>
  <si>
    <t xml:space="preserve">Höchste laufende Kosten; Mindestabnahmen prüfen</t>
  </si>
  <si>
    <t xml:space="preserve">Kauflizenz + Wartung oder Subskription (Cloud)</t>
  </si>
  <si>
    <t xml:space="preserve">Nutzerlizenzen</t>
  </si>
  <si>
    <t xml:space="preserve">ja – prüfen</t>
  </si>
  <si>
    <t xml:space="preserve">Mittleres Preisniveau angenommen</t>
  </si>
  <si>
    <t xml:space="preserve">D365 Supply Chain Mgmt.</t>
  </si>
  <si>
    <t xml:space="preserve">Subskription pro User</t>
  </si>
  <si>
    <t xml:space="preserve">SCM 182 €, Premium 259,90 € pro Nutzer/Monat (S04)</t>
  </si>
  <si>
    <t xml:space="preserve">Device-Lizenzen</t>
  </si>
  <si>
    <t xml:space="preserve">nein</t>
  </si>
  <si>
    <t xml:space="preserve">Lizenz allein ≈ 1,3 Mio. € über 5 J. → über Rahmen</t>
  </si>
  <si>
    <t xml:space="preserve">verifiziert (S04)</t>
  </si>
  <si>
    <t xml:space="preserve">Option 0 KVA-WARE</t>
  </si>
  <si>
    <t xml:space="preserve">keine Lizenz, aber Dienstleistervertrag + IBM-Leasing bis 06/2029</t>
  </si>
  <si>
    <t xml:space="preserve">Kaba-BDE (Ersatz nötig)</t>
  </si>
  <si>
    <t xml:space="preserve">Kosten verlagern sich auf Dienstleister</t>
  </si>
  <si>
    <t xml:space="preserve">Gesellschaft</t>
  </si>
  <si>
    <t xml:space="preserve">Status</t>
  </si>
  <si>
    <t xml:space="preserve">Rechtliche Anforderungen an das ERP</t>
  </si>
  <si>
    <t xml:space="preserve">Weitere Anforderungen</t>
  </si>
  <si>
    <t xml:space="preserve">Deutschland (Singen)</t>
  </si>
  <si>
    <t xml:space="preserve">Inland</t>
  </si>
  <si>
    <t xml:space="preserve">GoBD + Verfahrensdoku, HGB (IFRS künftig Kann), E-Rechnung Versand ab 01.01.2027, NIS2, BetrVG § 87/90, Exportkontrolle (BAFA, Dual-Use)</t>
  </si>
  <si>
    <t xml:space="preserve">EUR, DATEV-Lohn-Schnittstelle, ELO-Archiv</t>
  </si>
  <si>
    <t xml:space="preserve">Tschechien (Plzeň)</t>
  </si>
  <si>
    <t xml:space="preserve">EU-Ausland</t>
  </si>
  <si>
    <t xml:space="preserve">Kontrollmeldung (kontrolní hlášení), Intrastat, Zusammenfassende Meldung/VIES, CZ-Rechnungslegung, steuerfreie innergemeinschaftliche Lieferung, Verrechnungspreise IC</t>
  </si>
  <si>
    <t xml:space="preserve">CZK, Oberfläche + Belege Tschechisch, lokaler Lohn-Dienstleister, CZ-sprachiger Partner</t>
  </si>
  <si>
    <t xml:space="preserve">Schweiz (Kreuzlingen)</t>
  </si>
  <si>
    <t xml:space="preserve">Drittland (nicht EU)</t>
  </si>
  <si>
    <t xml:space="preserve">Zoll: Ausfuhranmeldung (ATLAS) + Ursprungsnachweise für jede Lieferung, MWST CH, QR-Rechnung, 5-Rappen-Rundung (Länderversion, S20), Datenschutz revDSG</t>
  </si>
  <si>
    <t xml:space="preserve">CHF, Bexio ablösen, Servicetechniker CH in Phase 1b</t>
  </si>
  <si>
    <t xml:space="preserve">Datenstandort / Anbieter</t>
  </si>
  <si>
    <t xml:space="preserve">EU vs. USA</t>
  </si>
  <si>
    <t xml:space="preserve">EU-Rechenzentrum + AVV; bei US-Anbietern CLOUD Act als Restrisiko (Brenner, BR); Option Datenhaltung DE für Wehrtechnik abfragen</t>
  </si>
  <si>
    <t xml:space="preserve">BC: Azure EU-Region + Plan B Hosting DE; proALPHA/abas DE; IFS EU (SE)</t>
  </si>
  <si>
    <t xml:space="preserve">Person / Gremium</t>
  </si>
  <si>
    <t xml:space="preserve">Anliegen</t>
  </si>
  <si>
    <t xml:space="preserve">Antwort in unserer Empfehlung</t>
  </si>
  <si>
    <t xml:space="preserve">Dr. Martina Kessler (CEO)</t>
  </si>
  <si>
    <t xml:space="preserve">Transparenz, ein System, Standard, planbare Kosten, „&lt; 1 Mio.“</t>
  </si>
  <si>
    <t xml:space="preserve">Standard + Power BI mobil, Subskription; ehrlicher TCO statt Wunschbudget</t>
  </si>
  <si>
    <t xml:space="preserve">Werner Vogt (GF Technik)</t>
  </si>
  <si>
    <t xml:space="preserve">Konfigurator = Herzstück, Produktion darf nie stehen, keine Miete, kein zweites 2016</t>
  </si>
  <si>
    <t xml:space="preserve">Konfigurator-PoC mit SEINEM Baukasten vor Vertrag; Offline-Puffer + 2. Leitung; Option 0 fair geprüft</t>
  </si>
  <si>
    <t xml:space="preserve">Sabine Haller (CFO)</t>
  </si>
  <si>
    <t xml:space="preserve">Abschluss 5 AT, Konsolidierung ab Go-live, 5-J.-TCO</t>
  </si>
  <si>
    <t xml:space="preserve">Mandanten/IC ab Pilsen-Pilot, ihre TCO-Methode übernommen</t>
  </si>
  <si>
    <t xml:space="preserve">Markus Brenner (IT)</t>
  </si>
  <si>
    <t xml:space="preserve">Cloud nur mit Plan B, 1,5 FTE, Pilsen nicht parallel</t>
  </si>
  <si>
    <t xml:space="preserve">Gleiche Software hostbar, sequenziell, Partner-Betrieb</t>
  </si>
  <si>
    <t xml:space="preserve">Elena Nováková (Pilsen)</t>
  </si>
  <si>
    <t xml:space="preserve">„We cannot wait until 2029“, CZ-Oberfläche</t>
  </si>
  <si>
    <t xml:space="preserve">Pilsen zuerst (10/2027), CZ-Lokalisierung von Microsoft</t>
  </si>
  <si>
    <t xml:space="preserve">Jürgen Kolb (Betriebsrat)</t>
  </si>
  <si>
    <t xml:space="preserve">BV vor Vertrag, keine Leistungskontrolle</t>
  </si>
  <si>
    <t xml:space="preserve">Rahmen-BV vor Unterschrift, Rückmeldung je Arbeitsplatz, BR in Demos</t>
  </si>
  <si>
    <t xml:space="preserve">≥ 3 Alternativen, Kosten, Zeitplan, Risiken</t>
  </si>
  <si>
    <t xml:space="preserve">3 Kandidaten + Option 0, TCO, Roadmap, Risikoliste</t>
  </si>
  <si>
    <t xml:space="preserve">Test</t>
  </si>
  <si>
    <t xml:space="preserve">Szenario (gleich für alle Anbieter)</t>
  </si>
  <si>
    <t xml:space="preserve">Prüft</t>
  </si>
  <si>
    <t xml:space="preserve">T1 · Konfigurator</t>
  </si>
  <si>
    <t xml:space="preserve">20 reale Baukasten-Varianten inkl. 3 ungültiger Kombinationen: Regelprüfung, Preis mit Metallzuschlag, Termin, erzeugte Stückliste + Arbeitsplan</t>
  </si>
  <si>
    <t xml:space="preserve">K1 · V-001, P-001</t>
  </si>
  <si>
    <t xml:space="preserve">T2 · PDM-Revision</t>
  </si>
  <si>
    <t xml:space="preserve">Freigabe Revision C in SolidWorks PDM; offener Auftrag auf Revision A darf nicht stillschweigend wechseln; Änderungsprotokoll</t>
  </si>
  <si>
    <t xml:space="preserve">K8 · P-002</t>
  </si>
  <si>
    <t xml:space="preserve">T3 · Engpassplanung</t>
  </si>
  <si>
    <t xml:space="preserve">Härterei mit Ofencharge nach Werkstoff/Härteverfahren, Verzahnung, Fremdbearbeitung, Gehäuse-Zulauf aus Pilsen; Eilauftrag simulieren</t>
  </si>
  <si>
    <t xml:space="preserve">P-004, P-005, V-004</t>
  </si>
  <si>
    <t xml:space="preserve">T4 · Rückverfolgung</t>
  </si>
  <si>
    <t xml:space="preserve">Gusscharge → Härtecharge → Fertigungsauftrag → Seriennummer → Kunde; Rückrufliste + Zeugnis 3.1 in ≤ 2 Stunden</t>
  </si>
  <si>
    <t xml:space="preserve">K5 · Q-001, S-001</t>
  </si>
  <si>
    <t xml:space="preserve">T5 · Ausfall &amp; Shopfloor</t>
  </si>
  <si>
    <t xml:space="preserve">Internet 4 h trennen: Rückmeldungen puffern und ohne Verlust/Doppelbuchung nachsynchronisieren; Auswertung erst ab 5 Personen (BR)</t>
  </si>
  <si>
    <t xml:space="preserve">P-016, P-009, B-001</t>
  </si>
  <si>
    <t xml:space="preserve">T6 · Gruppe DE/CZ/CH</t>
  </si>
  <si>
    <t xml:space="preserve">Lieferung Pilsen → Singen als Intercompany-Vorgang, CZ-Kontrollmeldung, Schweizer QR-Rechnung/MWST, Konsolidierung mit IC-Eliminierung</t>
  </si>
  <si>
    <t xml:space="preserve">K3, K4 · F-002, F-006, F-007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</si>
</sst>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.##"/>
    <numFmt numFmtId="167" formatCode="0%"/>
    <numFmt numFmtId="168" formatCode="#,##0&quot; €&quot;"/>
    <numFmt numFmtId="169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sz val="11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E2EFDA"/>
        <bgColor rgb="FFEDEDED"/>
      </patternFill>
    </fill>
    <fill>
      <patternFill patternType="solid">
        <fgColor rgb="FFD9D9D9"/>
        <bgColor rgb="FFDDEBF7"/>
      </patternFill>
    </fill>
    <fill>
      <patternFill patternType="solid">
        <fgColor rgb="FFEDEDED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8CBAD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11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11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DED"/>
      <rgbColor rgb="FFFFC7CE"/>
      <rgbColor rgb="FFFCE4D6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2" t="s">
        <v>13</v>
      </c>
    </row>
    <row r="16" customFormat="false" ht="15" hidden="false" customHeight="false" outlineLevel="0" collapsed="false">
      <c r="A16" s="2" t="s">
        <v>14</v>
      </c>
    </row>
    <row r="17" customFormat="false" ht="15" hidden="false" customHeight="false" outlineLevel="0" collapsed="false">
      <c r="A17" s="2" t="s">
        <v>15</v>
      </c>
    </row>
    <row r="18" customFormat="false" ht="15" hidden="false" customHeight="false" outlineLevel="0" collapsed="false">
      <c r="A18" s="2" t="s">
        <v>16</v>
      </c>
    </row>
    <row r="19" customFormat="false" ht="15" hidden="false" customHeight="false" outlineLevel="0" collapsed="false">
      <c r="A19" s="2" t="s">
        <v>17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18</v>
      </c>
    </row>
    <row r="22" customFormat="false" ht="15" hidden="false" customHeight="false" outlineLevel="0" collapsed="false">
      <c r="A22" s="2" t="s">
        <v>19</v>
      </c>
    </row>
    <row r="23" customFormat="false" ht="15" hidden="false" customHeight="false" outlineLevel="0" collapsed="false">
      <c r="A23" s="2" t="s">
        <v>20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4" min="3" style="0" width="45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55"/>
    <col collapsed="false" customWidth="true" hidden="false" outlineLevel="0" max="8" min="8" style="0" width="13"/>
    <col collapsed="false" customWidth="true" hidden="false" outlineLevel="0" max="9" min="9" style="0" width="10"/>
  </cols>
  <sheetData>
    <row r="1" customFormat="false" ht="28.35" hidden="false" customHeight="fals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</row>
    <row r="2" customFormat="false" ht="55.2" hidden="false" customHeight="false" outlineLevel="0" collapsed="false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5" t="s">
        <v>39</v>
      </c>
    </row>
    <row r="3" customFormat="false" ht="28.35" hidden="false" customHeight="fals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  <c r="I3" s="5" t="s">
        <v>39</v>
      </c>
    </row>
    <row r="4" customFormat="false" ht="41.75" hidden="false" customHeight="false" outlineLevel="0" collapsed="false">
      <c r="A4" s="5" t="s">
        <v>48</v>
      </c>
      <c r="B4" s="5" t="s">
        <v>49</v>
      </c>
      <c r="C4" s="5" t="s">
        <v>50</v>
      </c>
      <c r="D4" s="5" t="s">
        <v>51</v>
      </c>
      <c r="E4" s="5" t="s">
        <v>52</v>
      </c>
      <c r="F4" s="5" t="s">
        <v>53</v>
      </c>
      <c r="G4" s="5" t="s">
        <v>54</v>
      </c>
      <c r="H4" s="5" t="s">
        <v>55</v>
      </c>
      <c r="I4" s="5" t="s">
        <v>39</v>
      </c>
    </row>
    <row r="5" customFormat="false" ht="55.2" hidden="false" customHeight="false" outlineLevel="0" collapsed="false">
      <c r="A5" s="5" t="s">
        <v>56</v>
      </c>
      <c r="B5" s="5" t="s">
        <v>57</v>
      </c>
      <c r="C5" s="5" t="s">
        <v>58</v>
      </c>
      <c r="D5" s="5" t="s">
        <v>59</v>
      </c>
      <c r="E5" s="5" t="s">
        <v>35</v>
      </c>
      <c r="F5" s="5" t="s">
        <v>60</v>
      </c>
      <c r="G5" s="5" t="s">
        <v>61</v>
      </c>
      <c r="H5" s="5" t="s">
        <v>55</v>
      </c>
      <c r="I5" s="5" t="s">
        <v>39</v>
      </c>
    </row>
    <row r="6" customFormat="false" ht="55.2" hidden="false" customHeight="false" outlineLevel="0" collapsed="false">
      <c r="A6" s="5" t="s">
        <v>62</v>
      </c>
      <c r="B6" s="5" t="s">
        <v>63</v>
      </c>
      <c r="C6" s="5" t="s">
        <v>64</v>
      </c>
      <c r="D6" s="5" t="s">
        <v>65</v>
      </c>
      <c r="E6" s="5" t="s">
        <v>35</v>
      </c>
      <c r="F6" s="5" t="s">
        <v>66</v>
      </c>
      <c r="G6" s="5" t="s">
        <v>67</v>
      </c>
      <c r="H6" s="5" t="s">
        <v>68</v>
      </c>
      <c r="I6" s="5" t="s">
        <v>39</v>
      </c>
    </row>
    <row r="7" customFormat="false" ht="41.75" hidden="false" customHeight="false" outlineLevel="0" collapsed="false">
      <c r="A7" s="5" t="s">
        <v>69</v>
      </c>
      <c r="B7" s="5" t="s">
        <v>70</v>
      </c>
      <c r="C7" s="5" t="s">
        <v>71</v>
      </c>
      <c r="D7" s="5" t="s">
        <v>72</v>
      </c>
      <c r="E7" s="5" t="s">
        <v>73</v>
      </c>
      <c r="F7" s="5" t="s">
        <v>74</v>
      </c>
      <c r="G7" s="5" t="s">
        <v>75</v>
      </c>
      <c r="H7" s="5" t="s">
        <v>47</v>
      </c>
      <c r="I7" s="5" t="s">
        <v>39</v>
      </c>
    </row>
    <row r="8" customFormat="false" ht="55.2" hidden="false" customHeight="false" outlineLevel="0" collapsed="false">
      <c r="A8" s="5" t="s">
        <v>76</v>
      </c>
      <c r="B8" s="5" t="s">
        <v>77</v>
      </c>
      <c r="C8" s="5" t="s">
        <v>78</v>
      </c>
      <c r="D8" s="5" t="s">
        <v>79</v>
      </c>
      <c r="E8" s="5" t="s">
        <v>44</v>
      </c>
      <c r="F8" s="5" t="s">
        <v>80</v>
      </c>
      <c r="G8" s="5" t="s">
        <v>81</v>
      </c>
      <c r="H8" s="5" t="s">
        <v>82</v>
      </c>
      <c r="I8" s="5" t="s">
        <v>83</v>
      </c>
    </row>
    <row r="9" customFormat="false" ht="41.75" hidden="false" customHeight="false" outlineLevel="0" collapsed="false">
      <c r="A9" s="5" t="s">
        <v>84</v>
      </c>
      <c r="B9" s="5" t="s">
        <v>85</v>
      </c>
      <c r="C9" s="5" t="s">
        <v>86</v>
      </c>
      <c r="D9" s="5" t="s">
        <v>87</v>
      </c>
      <c r="E9" s="5" t="s">
        <v>35</v>
      </c>
      <c r="F9" s="5" t="s">
        <v>88</v>
      </c>
      <c r="G9" s="5" t="s">
        <v>89</v>
      </c>
      <c r="H9" s="5" t="s">
        <v>47</v>
      </c>
      <c r="I9" s="5" t="s">
        <v>39</v>
      </c>
    </row>
    <row r="10" customFormat="false" ht="68.65" hidden="false" customHeight="false" outlineLevel="0" collapsed="false">
      <c r="A10" s="5" t="s">
        <v>90</v>
      </c>
      <c r="B10" s="5" t="s">
        <v>91</v>
      </c>
      <c r="C10" s="5" t="s">
        <v>92</v>
      </c>
      <c r="D10" s="5" t="s">
        <v>93</v>
      </c>
      <c r="E10" s="5" t="s">
        <v>94</v>
      </c>
      <c r="F10" s="5" t="s">
        <v>95</v>
      </c>
      <c r="G10" s="5" t="s">
        <v>96</v>
      </c>
      <c r="H10" s="5" t="s">
        <v>82</v>
      </c>
      <c r="I10" s="5" t="s">
        <v>83</v>
      </c>
    </row>
    <row r="11" customFormat="false" ht="68.65" hidden="false" customHeight="false" outlineLevel="0" collapsed="false">
      <c r="A11" s="5" t="s">
        <v>97</v>
      </c>
      <c r="B11" s="5" t="s">
        <v>98</v>
      </c>
      <c r="C11" s="5" t="s">
        <v>99</v>
      </c>
      <c r="D11" s="5" t="s">
        <v>100</v>
      </c>
      <c r="E11" s="5" t="s">
        <v>35</v>
      </c>
      <c r="F11" s="5" t="s">
        <v>101</v>
      </c>
      <c r="G11" s="5" t="s">
        <v>102</v>
      </c>
      <c r="H11" s="5" t="s">
        <v>55</v>
      </c>
      <c r="I11" s="5" t="s">
        <v>39</v>
      </c>
    </row>
    <row r="12" customFormat="false" ht="41.75" hidden="false" customHeight="false" outlineLevel="0" collapsed="false">
      <c r="A12" s="5" t="s">
        <v>103</v>
      </c>
      <c r="B12" s="5" t="s">
        <v>104</v>
      </c>
      <c r="C12" s="5" t="s">
        <v>105</v>
      </c>
      <c r="D12" s="5" t="s">
        <v>106</v>
      </c>
      <c r="E12" s="5" t="s">
        <v>107</v>
      </c>
      <c r="F12" s="5" t="s">
        <v>108</v>
      </c>
      <c r="G12" s="5" t="s">
        <v>109</v>
      </c>
      <c r="H12" s="5" t="s">
        <v>82</v>
      </c>
      <c r="I12" s="5" t="s">
        <v>83</v>
      </c>
    </row>
    <row r="13" customFormat="false" ht="55.2" hidden="false" customHeight="false" outlineLevel="0" collapsed="false">
      <c r="A13" s="5" t="s">
        <v>110</v>
      </c>
      <c r="B13" s="5" t="s">
        <v>111</v>
      </c>
      <c r="C13" s="5" t="s">
        <v>112</v>
      </c>
      <c r="D13" s="5" t="s">
        <v>113</v>
      </c>
      <c r="E13" s="5" t="s">
        <v>35</v>
      </c>
      <c r="F13" s="5" t="s">
        <v>114</v>
      </c>
      <c r="G13" s="5" t="s">
        <v>115</v>
      </c>
      <c r="H13" s="5" t="s">
        <v>55</v>
      </c>
      <c r="I13" s="5" t="s">
        <v>83</v>
      </c>
    </row>
    <row r="14" customFormat="false" ht="55.2" hidden="false" customHeight="false" outlineLevel="0" collapsed="false">
      <c r="A14" s="5" t="s">
        <v>116</v>
      </c>
      <c r="B14" s="5" t="s">
        <v>117</v>
      </c>
      <c r="C14" s="5" t="s">
        <v>118</v>
      </c>
      <c r="D14" s="5" t="s">
        <v>119</v>
      </c>
      <c r="E14" s="5" t="s">
        <v>94</v>
      </c>
      <c r="F14" s="5" t="s">
        <v>120</v>
      </c>
      <c r="G14" s="5" t="s">
        <v>121</v>
      </c>
      <c r="H14" s="5" t="s">
        <v>82</v>
      </c>
      <c r="I14" s="5" t="s">
        <v>83</v>
      </c>
    </row>
    <row r="15" customFormat="false" ht="28.35" hidden="false" customHeight="false" outlineLevel="0" collapsed="false">
      <c r="A15" s="5" t="s">
        <v>122</v>
      </c>
      <c r="B15" s="5" t="s">
        <v>123</v>
      </c>
      <c r="C15" s="5" t="s">
        <v>124</v>
      </c>
      <c r="D15" s="5" t="s">
        <v>125</v>
      </c>
      <c r="E15" s="5" t="s">
        <v>126</v>
      </c>
      <c r="F15" s="5" t="s">
        <v>127</v>
      </c>
      <c r="G15" s="5" t="s">
        <v>128</v>
      </c>
      <c r="H15" s="5" t="s">
        <v>82</v>
      </c>
      <c r="I15" s="5" t="s">
        <v>83</v>
      </c>
    </row>
    <row r="16" customFormat="false" ht="41.75" hidden="false" customHeight="false" outlineLevel="0" collapsed="false">
      <c r="A16" s="5" t="s">
        <v>129</v>
      </c>
      <c r="B16" s="5" t="s">
        <v>130</v>
      </c>
      <c r="C16" s="5" t="s">
        <v>131</v>
      </c>
      <c r="D16" s="5" t="s">
        <v>132</v>
      </c>
      <c r="E16" s="5" t="s">
        <v>94</v>
      </c>
      <c r="F16" s="5" t="s">
        <v>133</v>
      </c>
      <c r="G16" s="5" t="s">
        <v>134</v>
      </c>
      <c r="H16" s="5" t="s">
        <v>82</v>
      </c>
      <c r="I16" s="5" t="s">
        <v>83</v>
      </c>
    </row>
    <row r="17" customFormat="false" ht="55.2" hidden="false" customHeight="false" outlineLevel="0" collapsed="false">
      <c r="A17" s="5" t="s">
        <v>135</v>
      </c>
      <c r="B17" s="5" t="s">
        <v>136</v>
      </c>
      <c r="C17" s="5" t="s">
        <v>137</v>
      </c>
      <c r="D17" s="5" t="s">
        <v>138</v>
      </c>
      <c r="E17" s="5" t="s">
        <v>35</v>
      </c>
      <c r="F17" s="5" t="s">
        <v>139</v>
      </c>
      <c r="G17" s="5" t="s">
        <v>140</v>
      </c>
      <c r="H17" s="5" t="s">
        <v>141</v>
      </c>
      <c r="I17" s="5" t="s">
        <v>39</v>
      </c>
    </row>
    <row r="18" customFormat="false" ht="41.75" hidden="false" customHeight="false" outlineLevel="0" collapsed="false">
      <c r="A18" s="5" t="s">
        <v>142</v>
      </c>
      <c r="B18" s="5" t="s">
        <v>143</v>
      </c>
      <c r="C18" s="5" t="s">
        <v>144</v>
      </c>
      <c r="D18" s="5" t="s">
        <v>145</v>
      </c>
      <c r="E18" s="5" t="s">
        <v>146</v>
      </c>
      <c r="F18" s="5" t="s">
        <v>147</v>
      </c>
      <c r="G18" s="5" t="s">
        <v>148</v>
      </c>
      <c r="H18" s="5" t="s">
        <v>55</v>
      </c>
      <c r="I18" s="5" t="s">
        <v>39</v>
      </c>
    </row>
    <row r="19" customFormat="false" ht="55.2" hidden="false" customHeight="false" outlineLevel="0" collapsed="false">
      <c r="A19" s="5" t="s">
        <v>149</v>
      </c>
      <c r="B19" s="5" t="s">
        <v>150</v>
      </c>
      <c r="C19" s="5" t="s">
        <v>151</v>
      </c>
      <c r="D19" s="5" t="s">
        <v>152</v>
      </c>
      <c r="E19" s="5" t="s">
        <v>35</v>
      </c>
      <c r="F19" s="5" t="s">
        <v>153</v>
      </c>
      <c r="G19" s="5" t="s">
        <v>154</v>
      </c>
      <c r="H19" s="5" t="s">
        <v>55</v>
      </c>
      <c r="I19" s="5" t="s">
        <v>39</v>
      </c>
    </row>
    <row r="20" customFormat="false" ht="28.35" hidden="false" customHeight="false" outlineLevel="0" collapsed="false">
      <c r="A20" s="5" t="s">
        <v>155</v>
      </c>
      <c r="B20" s="5" t="s">
        <v>156</v>
      </c>
      <c r="C20" s="5" t="s">
        <v>157</v>
      </c>
      <c r="D20" s="5" t="s">
        <v>158</v>
      </c>
      <c r="E20" s="5" t="s">
        <v>159</v>
      </c>
      <c r="F20" s="5" t="s">
        <v>160</v>
      </c>
      <c r="G20" s="5" t="s">
        <v>161</v>
      </c>
      <c r="H20" s="5" t="s">
        <v>82</v>
      </c>
      <c r="I20" s="5" t="s">
        <v>162</v>
      </c>
    </row>
    <row r="21" customFormat="false" ht="28.35" hidden="false" customHeight="false" outlineLevel="0" collapsed="false">
      <c r="A21" s="5" t="s">
        <v>163</v>
      </c>
      <c r="B21" s="5" t="s">
        <v>164</v>
      </c>
      <c r="C21" s="5" t="s">
        <v>165</v>
      </c>
      <c r="D21" s="5" t="s">
        <v>166</v>
      </c>
      <c r="E21" s="5" t="s">
        <v>167</v>
      </c>
      <c r="F21" s="5" t="s">
        <v>168</v>
      </c>
      <c r="G21" s="5" t="s">
        <v>169</v>
      </c>
      <c r="H21" s="5" t="s">
        <v>55</v>
      </c>
      <c r="I21" s="5" t="s">
        <v>162</v>
      </c>
    </row>
    <row r="22" customFormat="false" ht="28.35" hidden="false" customHeight="false" outlineLevel="0" collapsed="false">
      <c r="A22" s="5" t="s">
        <v>170</v>
      </c>
      <c r="B22" s="5" t="s">
        <v>171</v>
      </c>
      <c r="C22" s="5" t="s">
        <v>172</v>
      </c>
      <c r="D22" s="5" t="s">
        <v>173</v>
      </c>
      <c r="E22" s="5" t="s">
        <v>174</v>
      </c>
      <c r="F22" s="5" t="s">
        <v>175</v>
      </c>
      <c r="G22" s="5" t="s">
        <v>176</v>
      </c>
      <c r="H22" s="5" t="s">
        <v>82</v>
      </c>
      <c r="I22" s="5" t="s">
        <v>162</v>
      </c>
    </row>
    <row r="23" customFormat="false" ht="28.35" hidden="false" customHeight="false" outlineLevel="0" collapsed="false">
      <c r="A23" s="5" t="s">
        <v>177</v>
      </c>
      <c r="B23" s="5" t="s">
        <v>178</v>
      </c>
      <c r="C23" s="5" t="s">
        <v>179</v>
      </c>
      <c r="D23" s="5" t="s">
        <v>180</v>
      </c>
      <c r="E23" s="5" t="s">
        <v>159</v>
      </c>
      <c r="F23" s="5" t="s">
        <v>181</v>
      </c>
      <c r="G23" s="5" t="s">
        <v>182</v>
      </c>
      <c r="H23" s="5" t="s">
        <v>82</v>
      </c>
      <c r="I23" s="5" t="s">
        <v>162</v>
      </c>
    </row>
    <row r="24" customFormat="false" ht="28.35" hidden="false" customHeight="false" outlineLevel="0" collapsed="false">
      <c r="A24" s="5" t="s">
        <v>183</v>
      </c>
      <c r="B24" s="5" t="s">
        <v>184</v>
      </c>
      <c r="C24" s="5" t="s">
        <v>185</v>
      </c>
      <c r="D24" s="5" t="s">
        <v>186</v>
      </c>
      <c r="E24" s="5" t="s">
        <v>159</v>
      </c>
      <c r="F24" s="5" t="s">
        <v>187</v>
      </c>
      <c r="G24" s="5" t="s">
        <v>188</v>
      </c>
      <c r="H24" s="5" t="s">
        <v>82</v>
      </c>
      <c r="I24" s="5" t="s">
        <v>162</v>
      </c>
    </row>
    <row r="25" customFormat="false" ht="28.35" hidden="false" customHeight="false" outlineLevel="0" collapsed="false">
      <c r="A25" s="5" t="s">
        <v>189</v>
      </c>
      <c r="B25" s="5" t="s">
        <v>190</v>
      </c>
      <c r="C25" s="5" t="s">
        <v>191</v>
      </c>
      <c r="D25" s="5" t="s">
        <v>192</v>
      </c>
      <c r="E25" s="5" t="s">
        <v>44</v>
      </c>
      <c r="F25" s="5" t="s">
        <v>193</v>
      </c>
      <c r="G25" s="5" t="s">
        <v>194</v>
      </c>
      <c r="H25" s="5" t="s">
        <v>82</v>
      </c>
      <c r="I25" s="5" t="s">
        <v>162</v>
      </c>
    </row>
    <row r="26" customFormat="false" ht="28.35" hidden="false" customHeight="false" outlineLevel="0" collapsed="false">
      <c r="A26" s="5" t="s">
        <v>195</v>
      </c>
      <c r="B26" s="5" t="s">
        <v>196</v>
      </c>
      <c r="C26" s="5" t="s">
        <v>197</v>
      </c>
      <c r="D26" s="5" t="s">
        <v>198</v>
      </c>
      <c r="E26" s="5" t="s">
        <v>126</v>
      </c>
      <c r="F26" s="5" t="s">
        <v>199</v>
      </c>
      <c r="G26" s="5" t="s">
        <v>200</v>
      </c>
      <c r="H26" s="5" t="s">
        <v>82</v>
      </c>
      <c r="I26" s="5" t="s">
        <v>162</v>
      </c>
    </row>
    <row r="27" customFormat="false" ht="15" hidden="false" customHeight="false" outlineLevel="0" collapsed="false">
      <c r="A27" s="5" t="s">
        <v>201</v>
      </c>
      <c r="B27" s="5" t="s">
        <v>202</v>
      </c>
      <c r="C27" s="5" t="s">
        <v>203</v>
      </c>
      <c r="D27" s="5" t="s">
        <v>204</v>
      </c>
      <c r="E27" s="5" t="s">
        <v>205</v>
      </c>
      <c r="F27" s="5" t="s">
        <v>206</v>
      </c>
      <c r="G27" s="5" t="s">
        <v>207</v>
      </c>
      <c r="H27" s="5" t="s">
        <v>82</v>
      </c>
      <c r="I27" s="5" t="s">
        <v>162</v>
      </c>
    </row>
    <row r="28" customFormat="false" ht="41.75" hidden="false" customHeight="false" outlineLevel="0" collapsed="false">
      <c r="A28" s="5" t="s">
        <v>208</v>
      </c>
      <c r="B28" s="5" t="s">
        <v>209</v>
      </c>
      <c r="C28" s="5" t="s">
        <v>210</v>
      </c>
      <c r="D28" s="5" t="s">
        <v>211</v>
      </c>
      <c r="E28" s="5" t="s">
        <v>35</v>
      </c>
      <c r="F28" s="5" t="s">
        <v>212</v>
      </c>
      <c r="G28" s="5" t="s">
        <v>213</v>
      </c>
      <c r="H28" s="5" t="s">
        <v>82</v>
      </c>
      <c r="I28" s="5" t="s">
        <v>83</v>
      </c>
    </row>
    <row r="29" customFormat="false" ht="28.35" hidden="false" customHeight="false" outlineLevel="0" collapsed="false">
      <c r="A29" s="5" t="s">
        <v>214</v>
      </c>
      <c r="B29" s="5" t="s">
        <v>215</v>
      </c>
      <c r="C29" s="5" t="s">
        <v>216</v>
      </c>
      <c r="D29" s="5" t="s">
        <v>217</v>
      </c>
      <c r="E29" s="5" t="s">
        <v>146</v>
      </c>
      <c r="F29" s="5" t="s">
        <v>218</v>
      </c>
      <c r="G29" s="5" t="s">
        <v>219</v>
      </c>
      <c r="H29" s="5" t="s">
        <v>82</v>
      </c>
      <c r="I29" s="5" t="s">
        <v>162</v>
      </c>
    </row>
    <row r="30" customFormat="false" ht="41.75" hidden="false" customHeight="false" outlineLevel="0" collapsed="false">
      <c r="A30" s="5" t="s">
        <v>220</v>
      </c>
      <c r="B30" s="5" t="s">
        <v>221</v>
      </c>
      <c r="C30" s="5" t="s">
        <v>222</v>
      </c>
      <c r="D30" s="5" t="s">
        <v>223</v>
      </c>
      <c r="E30" s="5" t="s">
        <v>224</v>
      </c>
      <c r="F30" s="5" t="s">
        <v>225</v>
      </c>
      <c r="G30" s="5" t="s">
        <v>226</v>
      </c>
      <c r="H30" s="5" t="s">
        <v>82</v>
      </c>
      <c r="I30" s="5" t="s">
        <v>83</v>
      </c>
    </row>
    <row r="31" customFormat="false" ht="41.75" hidden="false" customHeight="false" outlineLevel="0" collapsed="false">
      <c r="A31" s="5" t="s">
        <v>227</v>
      </c>
      <c r="B31" s="5" t="s">
        <v>228</v>
      </c>
      <c r="C31" s="5" t="s">
        <v>229</v>
      </c>
      <c r="D31" s="5" t="s">
        <v>230</v>
      </c>
      <c r="E31" s="5" t="s">
        <v>107</v>
      </c>
      <c r="F31" s="5" t="s">
        <v>231</v>
      </c>
      <c r="G31" s="5" t="s">
        <v>232</v>
      </c>
      <c r="H31" s="5" t="s">
        <v>47</v>
      </c>
      <c r="I31" s="5" t="s">
        <v>83</v>
      </c>
    </row>
    <row r="32" customFormat="false" ht="28.35" hidden="false" customHeight="false" outlineLevel="0" collapsed="false">
      <c r="A32" s="5" t="s">
        <v>233</v>
      </c>
      <c r="B32" s="5" t="s">
        <v>234</v>
      </c>
      <c r="C32" s="5" t="s">
        <v>235</v>
      </c>
      <c r="D32" s="5" t="s">
        <v>236</v>
      </c>
      <c r="E32" s="5" t="s">
        <v>35</v>
      </c>
      <c r="F32" s="5" t="s">
        <v>237</v>
      </c>
      <c r="G32" s="5" t="s">
        <v>238</v>
      </c>
      <c r="H32" s="5" t="s">
        <v>47</v>
      </c>
      <c r="I32" s="5" t="s">
        <v>162</v>
      </c>
    </row>
    <row r="33" customFormat="false" ht="28.35" hidden="false" customHeight="false" outlineLevel="0" collapsed="false">
      <c r="A33" s="5" t="s">
        <v>239</v>
      </c>
      <c r="B33" s="5" t="s">
        <v>240</v>
      </c>
      <c r="C33" s="5" t="s">
        <v>241</v>
      </c>
      <c r="D33" s="5" t="s">
        <v>242</v>
      </c>
      <c r="E33" s="5" t="s">
        <v>243</v>
      </c>
      <c r="F33" s="5" t="s">
        <v>244</v>
      </c>
      <c r="G33" s="5" t="s">
        <v>245</v>
      </c>
      <c r="H33" s="5" t="s">
        <v>47</v>
      </c>
      <c r="I33" s="5" t="s">
        <v>83</v>
      </c>
    </row>
    <row r="34" customFormat="false" ht="41.75" hidden="false" customHeight="false" outlineLevel="0" collapsed="false">
      <c r="A34" s="5" t="s">
        <v>246</v>
      </c>
      <c r="B34" s="5" t="s">
        <v>247</v>
      </c>
      <c r="C34" s="5" t="s">
        <v>248</v>
      </c>
      <c r="D34" s="5" t="s">
        <v>249</v>
      </c>
      <c r="E34" s="5" t="s">
        <v>250</v>
      </c>
      <c r="F34" s="5" t="s">
        <v>251</v>
      </c>
      <c r="G34" s="5" t="s">
        <v>252</v>
      </c>
      <c r="H34" s="5" t="s">
        <v>82</v>
      </c>
      <c r="I34" s="5" t="s">
        <v>83</v>
      </c>
    </row>
    <row r="35" customFormat="false" ht="41.75" hidden="false" customHeight="false" outlineLevel="0" collapsed="false">
      <c r="A35" s="5" t="s">
        <v>253</v>
      </c>
      <c r="B35" s="5" t="s">
        <v>254</v>
      </c>
      <c r="C35" s="5" t="s">
        <v>255</v>
      </c>
      <c r="D35" s="5" t="s">
        <v>256</v>
      </c>
      <c r="E35" s="5" t="s">
        <v>257</v>
      </c>
      <c r="F35" s="5" t="s">
        <v>258</v>
      </c>
      <c r="G35" s="5" t="s">
        <v>259</v>
      </c>
      <c r="H35" s="5" t="s">
        <v>55</v>
      </c>
      <c r="I35" s="5" t="s">
        <v>39</v>
      </c>
    </row>
    <row r="36" customFormat="false" ht="55.2" hidden="false" customHeight="false" outlineLevel="0" collapsed="false">
      <c r="A36" s="5" t="s">
        <v>260</v>
      </c>
      <c r="B36" s="5" t="s">
        <v>261</v>
      </c>
      <c r="C36" s="5" t="s">
        <v>262</v>
      </c>
      <c r="D36" s="5" t="s">
        <v>263</v>
      </c>
      <c r="E36" s="5" t="s">
        <v>264</v>
      </c>
      <c r="F36" s="5" t="s">
        <v>265</v>
      </c>
      <c r="G36" s="5" t="s">
        <v>266</v>
      </c>
      <c r="H36" s="5" t="s">
        <v>55</v>
      </c>
      <c r="I36" s="5" t="s">
        <v>83</v>
      </c>
    </row>
    <row r="37" customFormat="false" ht="41.75" hidden="false" customHeight="false" outlineLevel="0" collapsed="false">
      <c r="A37" s="5" t="s">
        <v>267</v>
      </c>
      <c r="B37" s="5" t="s">
        <v>268</v>
      </c>
      <c r="C37" s="5" t="s">
        <v>269</v>
      </c>
      <c r="D37" s="5" t="s">
        <v>270</v>
      </c>
      <c r="E37" s="5" t="s">
        <v>271</v>
      </c>
      <c r="F37" s="5" t="s">
        <v>272</v>
      </c>
      <c r="G37" s="5" t="s">
        <v>273</v>
      </c>
      <c r="H37" s="5" t="s">
        <v>55</v>
      </c>
      <c r="I37" s="5" t="s">
        <v>83</v>
      </c>
    </row>
    <row r="38" customFormat="false" ht="28.35" hidden="false" customHeight="false" outlineLevel="0" collapsed="false">
      <c r="A38" s="5" t="s">
        <v>274</v>
      </c>
      <c r="B38" s="5" t="s">
        <v>275</v>
      </c>
      <c r="C38" s="5" t="s">
        <v>276</v>
      </c>
      <c r="D38" s="5" t="s">
        <v>277</v>
      </c>
      <c r="E38" s="5" t="s">
        <v>278</v>
      </c>
      <c r="F38" s="5" t="s">
        <v>279</v>
      </c>
      <c r="G38" s="5" t="s">
        <v>280</v>
      </c>
      <c r="H38" s="5" t="s">
        <v>55</v>
      </c>
      <c r="I38" s="5" t="s">
        <v>83</v>
      </c>
    </row>
    <row r="39" customFormat="false" ht="55.2" hidden="false" customHeight="false" outlineLevel="0" collapsed="false">
      <c r="A39" s="5" t="s">
        <v>281</v>
      </c>
      <c r="B39" s="5" t="s">
        <v>282</v>
      </c>
      <c r="C39" s="5" t="s">
        <v>283</v>
      </c>
      <c r="D39" s="5" t="s">
        <v>284</v>
      </c>
      <c r="E39" s="5" t="s">
        <v>146</v>
      </c>
      <c r="F39" s="5" t="s">
        <v>285</v>
      </c>
      <c r="G39" s="5" t="s">
        <v>286</v>
      </c>
      <c r="H39" s="5" t="s">
        <v>47</v>
      </c>
      <c r="I39" s="5" t="s">
        <v>83</v>
      </c>
    </row>
    <row r="40" customFormat="false" ht="28.35" hidden="false" customHeight="false" outlineLevel="0" collapsed="false">
      <c r="A40" s="5" t="s">
        <v>287</v>
      </c>
      <c r="B40" s="5" t="s">
        <v>288</v>
      </c>
      <c r="C40" s="5" t="s">
        <v>289</v>
      </c>
      <c r="D40" s="5" t="s">
        <v>290</v>
      </c>
      <c r="E40" s="5" t="s">
        <v>291</v>
      </c>
      <c r="F40" s="5" t="s">
        <v>292</v>
      </c>
      <c r="G40" s="5" t="s">
        <v>293</v>
      </c>
      <c r="H40" s="5" t="s">
        <v>55</v>
      </c>
      <c r="I40" s="5" t="s">
        <v>39</v>
      </c>
    </row>
    <row r="41" customFormat="false" ht="28.35" hidden="false" customHeight="false" outlineLevel="0" collapsed="false">
      <c r="A41" s="5" t="s">
        <v>294</v>
      </c>
      <c r="B41" s="5" t="s">
        <v>295</v>
      </c>
      <c r="C41" s="5" t="s">
        <v>296</v>
      </c>
      <c r="D41" s="5" t="s">
        <v>297</v>
      </c>
      <c r="E41" s="5" t="s">
        <v>35</v>
      </c>
      <c r="F41" s="5" t="s">
        <v>298</v>
      </c>
      <c r="G41" s="5" t="s">
        <v>299</v>
      </c>
      <c r="H41" s="5" t="s">
        <v>47</v>
      </c>
      <c r="I41" s="5" t="s">
        <v>162</v>
      </c>
    </row>
    <row r="42" customFormat="false" ht="41.75" hidden="false" customHeight="false" outlineLevel="0" collapsed="false">
      <c r="A42" s="5" t="s">
        <v>300</v>
      </c>
      <c r="B42" s="5" t="s">
        <v>301</v>
      </c>
      <c r="C42" s="5" t="s">
        <v>302</v>
      </c>
      <c r="D42" s="5" t="s">
        <v>303</v>
      </c>
      <c r="E42" s="5" t="s">
        <v>146</v>
      </c>
      <c r="F42" s="5" t="s">
        <v>304</v>
      </c>
      <c r="G42" s="5" t="s">
        <v>305</v>
      </c>
      <c r="H42" s="5" t="s">
        <v>82</v>
      </c>
      <c r="I42" s="5" t="s">
        <v>162</v>
      </c>
    </row>
    <row r="43" customFormat="false" ht="28.35" hidden="false" customHeight="false" outlineLevel="0" collapsed="false">
      <c r="A43" s="5" t="s">
        <v>306</v>
      </c>
      <c r="B43" s="5" t="s">
        <v>307</v>
      </c>
      <c r="C43" s="5" t="s">
        <v>308</v>
      </c>
      <c r="D43" s="5" t="s">
        <v>309</v>
      </c>
      <c r="E43" s="5" t="s">
        <v>159</v>
      </c>
      <c r="F43" s="5" t="s">
        <v>310</v>
      </c>
      <c r="G43" s="5" t="s">
        <v>311</v>
      </c>
      <c r="H43" s="5" t="s">
        <v>47</v>
      </c>
      <c r="I43" s="5" t="s">
        <v>83</v>
      </c>
    </row>
  </sheetData>
  <autoFilter ref="A1:I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24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4" t="s">
        <v>22</v>
      </c>
      <c r="B1" s="4" t="s">
        <v>312</v>
      </c>
      <c r="C1" s="4" t="s">
        <v>174</v>
      </c>
      <c r="D1" s="4" t="s">
        <v>313</v>
      </c>
      <c r="E1" s="4" t="s">
        <v>314</v>
      </c>
    </row>
    <row r="2" customFormat="false" ht="41.75" hidden="false" customHeight="false" outlineLevel="0" collapsed="false">
      <c r="A2" s="5" t="s">
        <v>315</v>
      </c>
      <c r="B2" s="5" t="s">
        <v>316</v>
      </c>
      <c r="C2" s="5" t="s">
        <v>317</v>
      </c>
      <c r="D2" s="5" t="s">
        <v>318</v>
      </c>
      <c r="E2" s="5" t="s">
        <v>319</v>
      </c>
    </row>
    <row r="3" customFormat="false" ht="28.35" hidden="false" customHeight="false" outlineLevel="0" collapsed="false">
      <c r="A3" s="5" t="s">
        <v>320</v>
      </c>
      <c r="B3" s="5" t="s">
        <v>321</v>
      </c>
      <c r="C3" s="5" t="s">
        <v>322</v>
      </c>
      <c r="D3" s="5" t="s">
        <v>323</v>
      </c>
      <c r="E3" s="5" t="s">
        <v>324</v>
      </c>
    </row>
    <row r="4" customFormat="false" ht="28.35" hidden="false" customHeight="false" outlineLevel="0" collapsed="false">
      <c r="A4" s="5" t="s">
        <v>325</v>
      </c>
      <c r="B4" s="5" t="s">
        <v>326</v>
      </c>
      <c r="C4" s="5" t="s">
        <v>327</v>
      </c>
      <c r="D4" s="5" t="s">
        <v>328</v>
      </c>
      <c r="E4" s="5" t="s">
        <v>329</v>
      </c>
    </row>
    <row r="5" customFormat="false" ht="41.75" hidden="false" customHeight="false" outlineLevel="0" collapsed="false">
      <c r="A5" s="5" t="s">
        <v>330</v>
      </c>
      <c r="B5" s="5" t="s">
        <v>331</v>
      </c>
      <c r="C5" s="5" t="s">
        <v>332</v>
      </c>
      <c r="D5" s="5" t="s">
        <v>333</v>
      </c>
      <c r="E5" s="5" t="s">
        <v>334</v>
      </c>
    </row>
    <row r="6" customFormat="false" ht="28.35" hidden="false" customHeight="false" outlineLevel="0" collapsed="false">
      <c r="A6" s="5" t="s">
        <v>335</v>
      </c>
      <c r="B6" s="5" t="s">
        <v>336</v>
      </c>
      <c r="C6" s="5" t="s">
        <v>337</v>
      </c>
      <c r="D6" s="5" t="s">
        <v>338</v>
      </c>
      <c r="E6" s="5" t="s">
        <v>339</v>
      </c>
    </row>
    <row r="7" customFormat="false" ht="28.35" hidden="false" customHeight="false" outlineLevel="0" collapsed="false">
      <c r="A7" s="5" t="s">
        <v>340</v>
      </c>
      <c r="B7" s="5" t="s">
        <v>341</v>
      </c>
      <c r="C7" s="5" t="s">
        <v>342</v>
      </c>
      <c r="D7" s="5" t="s">
        <v>343</v>
      </c>
      <c r="E7" s="5" t="s">
        <v>344</v>
      </c>
    </row>
    <row r="8" customFormat="false" ht="28.35" hidden="false" customHeight="false" outlineLevel="0" collapsed="false">
      <c r="A8" s="5" t="s">
        <v>345</v>
      </c>
      <c r="B8" s="5" t="s">
        <v>346</v>
      </c>
      <c r="C8" s="5" t="s">
        <v>347</v>
      </c>
      <c r="D8" s="5" t="s">
        <v>348</v>
      </c>
      <c r="E8" s="5" t="s">
        <v>349</v>
      </c>
    </row>
    <row r="9" customFormat="false" ht="15" hidden="false" customHeight="false" outlineLevel="0" collapsed="false">
      <c r="A9" s="5" t="s">
        <v>350</v>
      </c>
      <c r="B9" s="5" t="s">
        <v>351</v>
      </c>
      <c r="C9" s="5" t="s">
        <v>352</v>
      </c>
      <c r="D9" s="5" t="s">
        <v>353</v>
      </c>
      <c r="E9" s="5" t="s">
        <v>354</v>
      </c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50"/>
    <col collapsed="false" customWidth="true" hidden="false" outlineLevel="0" max="11" min="11" style="0" width="12"/>
  </cols>
  <sheetData>
    <row r="1" customFormat="false" ht="41.75" hidden="false" customHeight="false" outlineLevel="0" collapsed="false">
      <c r="A1" s="4" t="s">
        <v>22</v>
      </c>
      <c r="B1" s="4" t="s">
        <v>355</v>
      </c>
      <c r="C1" s="4" t="s">
        <v>356</v>
      </c>
      <c r="D1" s="4" t="s">
        <v>357</v>
      </c>
      <c r="E1" s="4" t="s">
        <v>358</v>
      </c>
      <c r="F1" s="4" t="s">
        <v>359</v>
      </c>
      <c r="G1" s="4" t="s">
        <v>360</v>
      </c>
      <c r="H1" s="4" t="s">
        <v>361</v>
      </c>
      <c r="I1" s="4" t="s">
        <v>362</v>
      </c>
      <c r="J1" s="4" t="s">
        <v>363</v>
      </c>
      <c r="K1" s="4" t="s">
        <v>364</v>
      </c>
    </row>
    <row r="2" customFormat="false" ht="28.35" hidden="false" customHeight="false" outlineLevel="0" collapsed="false">
      <c r="A2" s="5" t="s">
        <v>365</v>
      </c>
      <c r="B2" s="5" t="s">
        <v>366</v>
      </c>
      <c r="C2" s="5" t="s">
        <v>367</v>
      </c>
      <c r="D2" s="5" t="s">
        <v>368</v>
      </c>
      <c r="E2" s="5" t="s">
        <v>369</v>
      </c>
      <c r="F2" s="5" t="s">
        <v>370</v>
      </c>
      <c r="G2" s="5" t="s">
        <v>371</v>
      </c>
      <c r="H2" s="5" t="s">
        <v>372</v>
      </c>
      <c r="I2" s="6" t="s">
        <v>373</v>
      </c>
      <c r="J2" s="5" t="s">
        <v>374</v>
      </c>
      <c r="K2" s="5" t="s">
        <v>116</v>
      </c>
    </row>
    <row r="3" customFormat="false" ht="28.35" hidden="false" customHeight="false" outlineLevel="0" collapsed="false">
      <c r="A3" s="5" t="s">
        <v>375</v>
      </c>
      <c r="B3" s="5" t="s">
        <v>366</v>
      </c>
      <c r="C3" s="5" t="s">
        <v>376</v>
      </c>
      <c r="D3" s="5" t="s">
        <v>377</v>
      </c>
      <c r="E3" s="5" t="s">
        <v>369</v>
      </c>
      <c r="F3" s="5" t="s">
        <v>378</v>
      </c>
      <c r="G3" s="5" t="s">
        <v>379</v>
      </c>
      <c r="H3" s="5" t="s">
        <v>380</v>
      </c>
      <c r="I3" s="6" t="s">
        <v>373</v>
      </c>
      <c r="J3" s="5" t="s">
        <v>381</v>
      </c>
      <c r="K3" s="5"/>
    </row>
    <row r="4" customFormat="false" ht="15" hidden="false" customHeight="false" outlineLevel="0" collapsed="false">
      <c r="A4" s="5" t="s">
        <v>382</v>
      </c>
      <c r="B4" s="5" t="s">
        <v>366</v>
      </c>
      <c r="C4" s="5" t="s">
        <v>383</v>
      </c>
      <c r="D4" s="5" t="s">
        <v>384</v>
      </c>
      <c r="E4" s="5" t="s">
        <v>369</v>
      </c>
      <c r="F4" s="5" t="s">
        <v>370</v>
      </c>
      <c r="G4" s="5" t="s">
        <v>371</v>
      </c>
      <c r="H4" s="5" t="s">
        <v>385</v>
      </c>
      <c r="I4" s="7" t="s">
        <v>386</v>
      </c>
      <c r="J4" s="5" t="s">
        <v>387</v>
      </c>
      <c r="K4" s="5" t="s">
        <v>208</v>
      </c>
    </row>
    <row r="5" customFormat="false" ht="15" hidden="false" customHeight="false" outlineLevel="0" collapsed="false">
      <c r="A5" s="5" t="s">
        <v>388</v>
      </c>
      <c r="B5" s="5" t="s">
        <v>366</v>
      </c>
      <c r="C5" s="5" t="s">
        <v>389</v>
      </c>
      <c r="D5" s="5" t="s">
        <v>390</v>
      </c>
      <c r="E5" s="5" t="s">
        <v>373</v>
      </c>
      <c r="F5" s="5" t="s">
        <v>391</v>
      </c>
      <c r="G5" s="5" t="s">
        <v>379</v>
      </c>
      <c r="H5" s="5" t="s">
        <v>385</v>
      </c>
      <c r="I5" s="6" t="s">
        <v>373</v>
      </c>
      <c r="J5" s="5" t="s">
        <v>392</v>
      </c>
      <c r="K5" s="5" t="s">
        <v>214</v>
      </c>
    </row>
    <row r="6" customFormat="false" ht="15" hidden="false" customHeight="false" outlineLevel="0" collapsed="false">
      <c r="A6" s="5" t="s">
        <v>393</v>
      </c>
      <c r="B6" s="5" t="s">
        <v>366</v>
      </c>
      <c r="C6" s="5" t="s">
        <v>394</v>
      </c>
      <c r="D6" s="5" t="s">
        <v>395</v>
      </c>
      <c r="E6" s="5" t="s">
        <v>369</v>
      </c>
      <c r="F6" s="5" t="s">
        <v>396</v>
      </c>
      <c r="G6" s="5" t="s">
        <v>379</v>
      </c>
      <c r="H6" s="5" t="s">
        <v>385</v>
      </c>
      <c r="I6" s="7" t="s">
        <v>386</v>
      </c>
      <c r="J6" s="5" t="s">
        <v>325</v>
      </c>
      <c r="K6" s="5"/>
    </row>
    <row r="7" customFormat="false" ht="15" hidden="false" customHeight="false" outlineLevel="0" collapsed="false">
      <c r="A7" s="5" t="s">
        <v>397</v>
      </c>
      <c r="B7" s="5" t="s">
        <v>366</v>
      </c>
      <c r="C7" s="5" t="s">
        <v>398</v>
      </c>
      <c r="D7" s="5" t="s">
        <v>399</v>
      </c>
      <c r="E7" s="5" t="s">
        <v>400</v>
      </c>
      <c r="F7" s="5" t="s">
        <v>401</v>
      </c>
      <c r="G7" s="5" t="s">
        <v>379</v>
      </c>
      <c r="H7" s="5" t="s">
        <v>385</v>
      </c>
      <c r="I7" s="8" t="s">
        <v>402</v>
      </c>
      <c r="J7" s="5" t="s">
        <v>403</v>
      </c>
      <c r="K7" s="5"/>
    </row>
    <row r="8" customFormat="false" ht="28.35" hidden="false" customHeight="false" outlineLevel="0" collapsed="false">
      <c r="A8" s="5" t="s">
        <v>404</v>
      </c>
      <c r="B8" s="5" t="s">
        <v>366</v>
      </c>
      <c r="C8" s="5" t="s">
        <v>405</v>
      </c>
      <c r="D8" s="5" t="s">
        <v>406</v>
      </c>
      <c r="E8" s="5" t="s">
        <v>407</v>
      </c>
      <c r="F8" s="5" t="s">
        <v>401</v>
      </c>
      <c r="G8" s="5" t="s">
        <v>379</v>
      </c>
      <c r="H8" s="5" t="s">
        <v>408</v>
      </c>
      <c r="I8" s="8" t="s">
        <v>402</v>
      </c>
      <c r="J8" s="5" t="s">
        <v>409</v>
      </c>
      <c r="K8" s="5"/>
    </row>
    <row r="9" customFormat="false" ht="28.35" hidden="false" customHeight="false" outlineLevel="0" collapsed="false">
      <c r="A9" s="5" t="s">
        <v>410</v>
      </c>
      <c r="B9" s="5" t="s">
        <v>366</v>
      </c>
      <c r="C9" s="5" t="s">
        <v>411</v>
      </c>
      <c r="D9" s="5" t="s">
        <v>412</v>
      </c>
      <c r="E9" s="5" t="s">
        <v>369</v>
      </c>
      <c r="F9" s="5" t="s">
        <v>401</v>
      </c>
      <c r="G9" s="5" t="s">
        <v>413</v>
      </c>
      <c r="H9" s="5" t="s">
        <v>94</v>
      </c>
      <c r="I9" s="9" t="s">
        <v>414</v>
      </c>
      <c r="J9" s="5" t="s">
        <v>415</v>
      </c>
      <c r="K9" s="5" t="s">
        <v>110</v>
      </c>
    </row>
    <row r="10" customFormat="false" ht="28.35" hidden="false" customHeight="false" outlineLevel="0" collapsed="false">
      <c r="A10" s="5" t="s">
        <v>416</v>
      </c>
      <c r="B10" s="5" t="s">
        <v>366</v>
      </c>
      <c r="C10" s="5" t="s">
        <v>130</v>
      </c>
      <c r="D10" s="5" t="s">
        <v>417</v>
      </c>
      <c r="E10" s="5" t="s">
        <v>369</v>
      </c>
      <c r="F10" s="5" t="s">
        <v>418</v>
      </c>
      <c r="G10" s="5" t="s">
        <v>413</v>
      </c>
      <c r="H10" s="5" t="s">
        <v>94</v>
      </c>
      <c r="I10" s="6" t="s">
        <v>419</v>
      </c>
      <c r="J10" s="5" t="s">
        <v>420</v>
      </c>
      <c r="K10" s="5" t="s">
        <v>129</v>
      </c>
    </row>
    <row r="11" customFormat="false" ht="28.35" hidden="false" customHeight="false" outlineLevel="0" collapsed="false">
      <c r="A11" s="5" t="s">
        <v>421</v>
      </c>
      <c r="B11" s="5" t="s">
        <v>366</v>
      </c>
      <c r="C11" s="5" t="s">
        <v>422</v>
      </c>
      <c r="D11" s="5" t="s">
        <v>423</v>
      </c>
      <c r="E11" s="5" t="s">
        <v>369</v>
      </c>
      <c r="F11" s="5" t="s">
        <v>424</v>
      </c>
      <c r="G11" s="5" t="s">
        <v>425</v>
      </c>
      <c r="H11" s="5" t="s">
        <v>126</v>
      </c>
      <c r="I11" s="9" t="s">
        <v>414</v>
      </c>
      <c r="J11" s="5" t="s">
        <v>426</v>
      </c>
      <c r="K11" s="5" t="s">
        <v>122</v>
      </c>
    </row>
    <row r="12" customFormat="false" ht="15" hidden="false" customHeight="false" outlineLevel="0" collapsed="false">
      <c r="A12" s="5" t="s">
        <v>427</v>
      </c>
      <c r="B12" s="5" t="s">
        <v>428</v>
      </c>
      <c r="C12" s="5" t="s">
        <v>429</v>
      </c>
      <c r="D12" s="5" t="s">
        <v>430</v>
      </c>
      <c r="E12" s="5" t="s">
        <v>369</v>
      </c>
      <c r="F12" s="5" t="s">
        <v>396</v>
      </c>
      <c r="G12" s="5" t="s">
        <v>371</v>
      </c>
      <c r="H12" s="5" t="s">
        <v>385</v>
      </c>
      <c r="I12" s="6" t="s">
        <v>373</v>
      </c>
      <c r="J12" s="5"/>
      <c r="K12" s="5"/>
    </row>
    <row r="13" customFormat="false" ht="28.35" hidden="false" customHeight="false" outlineLevel="0" collapsed="false">
      <c r="A13" s="5" t="s">
        <v>431</v>
      </c>
      <c r="B13" s="5" t="s">
        <v>428</v>
      </c>
      <c r="C13" s="5" t="s">
        <v>432</v>
      </c>
      <c r="D13" s="5" t="s">
        <v>433</v>
      </c>
      <c r="E13" s="5" t="s">
        <v>369</v>
      </c>
      <c r="F13" s="5" t="s">
        <v>396</v>
      </c>
      <c r="G13" s="5" t="s">
        <v>379</v>
      </c>
      <c r="H13" s="5" t="s">
        <v>385</v>
      </c>
      <c r="I13" s="6" t="s">
        <v>373</v>
      </c>
      <c r="J13" s="5" t="s">
        <v>434</v>
      </c>
      <c r="K13" s="5" t="s">
        <v>435</v>
      </c>
    </row>
    <row r="14" customFormat="false" ht="28.35" hidden="false" customHeight="false" outlineLevel="0" collapsed="false">
      <c r="A14" s="5" t="s">
        <v>436</v>
      </c>
      <c r="B14" s="5" t="s">
        <v>428</v>
      </c>
      <c r="C14" s="5" t="s">
        <v>437</v>
      </c>
      <c r="D14" s="5" t="s">
        <v>438</v>
      </c>
      <c r="E14" s="5" t="s">
        <v>369</v>
      </c>
      <c r="F14" s="5" t="s">
        <v>396</v>
      </c>
      <c r="G14" s="5" t="s">
        <v>371</v>
      </c>
      <c r="H14" s="5" t="s">
        <v>439</v>
      </c>
      <c r="I14" s="7" t="s">
        <v>386</v>
      </c>
      <c r="J14" s="5" t="s">
        <v>440</v>
      </c>
      <c r="K14" s="5" t="s">
        <v>253</v>
      </c>
    </row>
    <row r="15" customFormat="false" ht="28.35" hidden="false" customHeight="false" outlineLevel="0" collapsed="false">
      <c r="A15" s="5" t="s">
        <v>441</v>
      </c>
      <c r="B15" s="5" t="s">
        <v>428</v>
      </c>
      <c r="C15" s="5" t="s">
        <v>442</v>
      </c>
      <c r="D15" s="5" t="s">
        <v>443</v>
      </c>
      <c r="E15" s="5" t="s">
        <v>369</v>
      </c>
      <c r="F15" s="5" t="s">
        <v>396</v>
      </c>
      <c r="G15" s="5" t="s">
        <v>371</v>
      </c>
      <c r="H15" s="5" t="s">
        <v>439</v>
      </c>
      <c r="I15" s="6" t="s">
        <v>373</v>
      </c>
      <c r="J15" s="5" t="s">
        <v>444</v>
      </c>
      <c r="K15" s="5"/>
    </row>
    <row r="16" customFormat="false" ht="15" hidden="false" customHeight="false" outlineLevel="0" collapsed="false">
      <c r="A16" s="5" t="s">
        <v>445</v>
      </c>
      <c r="B16" s="5" t="s">
        <v>428</v>
      </c>
      <c r="C16" s="5" t="s">
        <v>446</v>
      </c>
      <c r="D16" s="5" t="s">
        <v>447</v>
      </c>
      <c r="E16" s="5" t="s">
        <v>369</v>
      </c>
      <c r="F16" s="5" t="s">
        <v>370</v>
      </c>
      <c r="G16" s="5" t="s">
        <v>371</v>
      </c>
      <c r="H16" s="5" t="s">
        <v>385</v>
      </c>
      <c r="I16" s="7" t="s">
        <v>386</v>
      </c>
      <c r="J16" s="5" t="s">
        <v>325</v>
      </c>
      <c r="K16" s="5"/>
    </row>
    <row r="17" customFormat="false" ht="15" hidden="false" customHeight="false" outlineLevel="0" collapsed="false">
      <c r="A17" s="5" t="s">
        <v>448</v>
      </c>
      <c r="B17" s="5" t="s">
        <v>428</v>
      </c>
      <c r="C17" s="5" t="s">
        <v>449</v>
      </c>
      <c r="D17" s="5" t="s">
        <v>450</v>
      </c>
      <c r="E17" s="5" t="s">
        <v>369</v>
      </c>
      <c r="F17" s="5" t="s">
        <v>451</v>
      </c>
      <c r="G17" s="5" t="s">
        <v>371</v>
      </c>
      <c r="H17" s="5" t="s">
        <v>439</v>
      </c>
      <c r="I17" s="7" t="s">
        <v>386</v>
      </c>
      <c r="J17" s="5" t="s">
        <v>330</v>
      </c>
      <c r="K17" s="5"/>
    </row>
    <row r="18" customFormat="false" ht="15" hidden="false" customHeight="false" outlineLevel="0" collapsed="false">
      <c r="A18" s="5" t="s">
        <v>452</v>
      </c>
      <c r="B18" s="5" t="s">
        <v>428</v>
      </c>
      <c r="C18" s="5" t="s">
        <v>453</v>
      </c>
      <c r="D18" s="5" t="s">
        <v>454</v>
      </c>
      <c r="E18" s="5" t="s">
        <v>369</v>
      </c>
      <c r="F18" s="5" t="s">
        <v>396</v>
      </c>
      <c r="G18" s="5" t="s">
        <v>379</v>
      </c>
      <c r="H18" s="5" t="s">
        <v>439</v>
      </c>
      <c r="I18" s="6" t="s">
        <v>373</v>
      </c>
      <c r="J18" s="5" t="s">
        <v>455</v>
      </c>
      <c r="K18" s="5" t="s">
        <v>294</v>
      </c>
    </row>
    <row r="19" customFormat="false" ht="28.35" hidden="false" customHeight="false" outlineLevel="0" collapsed="false">
      <c r="A19" s="5" t="s">
        <v>456</v>
      </c>
      <c r="B19" s="5" t="s">
        <v>428</v>
      </c>
      <c r="C19" s="5" t="s">
        <v>457</v>
      </c>
      <c r="D19" s="5" t="s">
        <v>458</v>
      </c>
      <c r="E19" s="5" t="s">
        <v>369</v>
      </c>
      <c r="F19" s="5" t="s">
        <v>396</v>
      </c>
      <c r="G19" s="5" t="s">
        <v>379</v>
      </c>
      <c r="H19" s="5" t="s">
        <v>385</v>
      </c>
      <c r="I19" s="6" t="s">
        <v>373</v>
      </c>
      <c r="J19" s="5" t="s">
        <v>459</v>
      </c>
      <c r="K19" s="5"/>
    </row>
    <row r="20" customFormat="false" ht="28.35" hidden="false" customHeight="false" outlineLevel="0" collapsed="false">
      <c r="A20" s="5" t="s">
        <v>460</v>
      </c>
      <c r="B20" s="5" t="s">
        <v>428</v>
      </c>
      <c r="C20" s="5" t="s">
        <v>461</v>
      </c>
      <c r="D20" s="5" t="s">
        <v>462</v>
      </c>
      <c r="E20" s="5" t="s">
        <v>369</v>
      </c>
      <c r="F20" s="5" t="s">
        <v>396</v>
      </c>
      <c r="G20" s="5" t="s">
        <v>379</v>
      </c>
      <c r="H20" s="5" t="s">
        <v>385</v>
      </c>
      <c r="I20" s="6" t="s">
        <v>373</v>
      </c>
      <c r="J20" s="5" t="s">
        <v>463</v>
      </c>
      <c r="K20" s="5" t="s">
        <v>135</v>
      </c>
    </row>
    <row r="21" customFormat="false" ht="15" hidden="false" customHeight="false" outlineLevel="0" collapsed="false">
      <c r="A21" s="5" t="s">
        <v>464</v>
      </c>
      <c r="B21" s="5" t="s">
        <v>428</v>
      </c>
      <c r="C21" s="5" t="s">
        <v>465</v>
      </c>
      <c r="D21" s="5" t="s">
        <v>466</v>
      </c>
      <c r="E21" s="5" t="s">
        <v>400</v>
      </c>
      <c r="F21" s="5" t="s">
        <v>396</v>
      </c>
      <c r="G21" s="5" t="s">
        <v>379</v>
      </c>
      <c r="H21" s="5" t="s">
        <v>385</v>
      </c>
      <c r="I21" s="8" t="s">
        <v>402</v>
      </c>
      <c r="J21" s="5"/>
      <c r="K21" s="5"/>
    </row>
    <row r="22" customFormat="false" ht="28.35" hidden="false" customHeight="false" outlineLevel="0" collapsed="false">
      <c r="A22" s="5" t="s">
        <v>467</v>
      </c>
      <c r="B22" s="5" t="s">
        <v>428</v>
      </c>
      <c r="C22" s="5" t="s">
        <v>468</v>
      </c>
      <c r="D22" s="5" t="s">
        <v>469</v>
      </c>
      <c r="E22" s="5" t="s">
        <v>407</v>
      </c>
      <c r="F22" s="5" t="s">
        <v>470</v>
      </c>
      <c r="G22" s="5" t="s">
        <v>379</v>
      </c>
      <c r="H22" s="5" t="s">
        <v>471</v>
      </c>
      <c r="I22" s="8" t="s">
        <v>402</v>
      </c>
      <c r="J22" s="5" t="s">
        <v>472</v>
      </c>
      <c r="K22" s="5"/>
    </row>
    <row r="23" customFormat="false" ht="15" hidden="false" customHeight="false" outlineLevel="0" collapsed="false">
      <c r="A23" s="5" t="s">
        <v>473</v>
      </c>
      <c r="B23" s="5" t="s">
        <v>428</v>
      </c>
      <c r="C23" s="5" t="s">
        <v>474</v>
      </c>
      <c r="D23" s="5" t="s">
        <v>475</v>
      </c>
      <c r="E23" s="5" t="s">
        <v>369</v>
      </c>
      <c r="F23" s="5" t="s">
        <v>396</v>
      </c>
      <c r="G23" s="5" t="s">
        <v>371</v>
      </c>
      <c r="H23" s="5" t="s">
        <v>385</v>
      </c>
      <c r="I23" s="6" t="s">
        <v>373</v>
      </c>
      <c r="J23" s="5" t="s">
        <v>476</v>
      </c>
      <c r="K23" s="5"/>
    </row>
    <row r="24" customFormat="false" ht="15" hidden="false" customHeight="false" outlineLevel="0" collapsed="false">
      <c r="A24" s="5" t="s">
        <v>477</v>
      </c>
      <c r="B24" s="5" t="s">
        <v>428</v>
      </c>
      <c r="C24" s="5" t="s">
        <v>478</v>
      </c>
      <c r="D24" s="5" t="s">
        <v>479</v>
      </c>
      <c r="E24" s="5" t="s">
        <v>369</v>
      </c>
      <c r="F24" s="5" t="s">
        <v>396</v>
      </c>
      <c r="G24" s="5" t="s">
        <v>371</v>
      </c>
      <c r="H24" s="5" t="s">
        <v>385</v>
      </c>
      <c r="I24" s="7" t="s">
        <v>386</v>
      </c>
      <c r="J24" s="5" t="s">
        <v>350</v>
      </c>
      <c r="K24" s="5"/>
    </row>
    <row r="25" customFormat="false" ht="15" hidden="false" customHeight="false" outlineLevel="0" collapsed="false">
      <c r="A25" s="5" t="s">
        <v>480</v>
      </c>
      <c r="B25" s="5" t="s">
        <v>428</v>
      </c>
      <c r="C25" s="5" t="s">
        <v>481</v>
      </c>
      <c r="D25" s="5" t="s">
        <v>482</v>
      </c>
      <c r="E25" s="5" t="s">
        <v>400</v>
      </c>
      <c r="F25" s="5" t="s">
        <v>396</v>
      </c>
      <c r="G25" s="5" t="s">
        <v>379</v>
      </c>
      <c r="H25" s="5" t="s">
        <v>408</v>
      </c>
      <c r="I25" s="8" t="s">
        <v>402</v>
      </c>
      <c r="J25" s="5" t="s">
        <v>483</v>
      </c>
      <c r="K25" s="5"/>
    </row>
    <row r="26" customFormat="false" ht="15" hidden="false" customHeight="false" outlineLevel="0" collapsed="false">
      <c r="A26" s="5" t="s">
        <v>484</v>
      </c>
      <c r="B26" s="5" t="s">
        <v>428</v>
      </c>
      <c r="C26" s="5" t="s">
        <v>485</v>
      </c>
      <c r="D26" s="5" t="s">
        <v>486</v>
      </c>
      <c r="E26" s="5" t="s">
        <v>369</v>
      </c>
      <c r="F26" s="5" t="s">
        <v>370</v>
      </c>
      <c r="G26" s="5" t="s">
        <v>371</v>
      </c>
      <c r="H26" s="5" t="s">
        <v>385</v>
      </c>
      <c r="I26" s="6" t="s">
        <v>373</v>
      </c>
      <c r="J26" s="5"/>
      <c r="K26" s="5"/>
    </row>
    <row r="27" customFormat="false" ht="41.75" hidden="false" customHeight="false" outlineLevel="0" collapsed="false">
      <c r="A27" s="5" t="s">
        <v>487</v>
      </c>
      <c r="B27" s="5" t="s">
        <v>488</v>
      </c>
      <c r="C27" s="5" t="s">
        <v>489</v>
      </c>
      <c r="D27" s="5" t="s">
        <v>490</v>
      </c>
      <c r="E27" s="5" t="s">
        <v>491</v>
      </c>
      <c r="F27" s="5" t="s">
        <v>492</v>
      </c>
      <c r="G27" s="5" t="s">
        <v>371</v>
      </c>
      <c r="H27" s="5" t="s">
        <v>385</v>
      </c>
      <c r="I27" s="7" t="s">
        <v>386</v>
      </c>
      <c r="J27" s="5" t="s">
        <v>493</v>
      </c>
      <c r="K27" s="5"/>
    </row>
    <row r="28" customFormat="false" ht="28.35" hidden="false" customHeight="false" outlineLevel="0" collapsed="false">
      <c r="A28" s="5" t="s">
        <v>494</v>
      </c>
      <c r="B28" s="5" t="s">
        <v>488</v>
      </c>
      <c r="C28" s="5" t="s">
        <v>495</v>
      </c>
      <c r="D28" s="5" t="s">
        <v>496</v>
      </c>
      <c r="E28" s="5" t="s">
        <v>369</v>
      </c>
      <c r="F28" s="5" t="s">
        <v>391</v>
      </c>
      <c r="G28" s="5" t="s">
        <v>413</v>
      </c>
      <c r="H28" s="5" t="s">
        <v>94</v>
      </c>
      <c r="I28" s="10" t="s">
        <v>497</v>
      </c>
      <c r="J28" s="5" t="s">
        <v>498</v>
      </c>
      <c r="K28" s="5" t="s">
        <v>220</v>
      </c>
    </row>
    <row r="29" customFormat="false" ht="28.35" hidden="false" customHeight="false" outlineLevel="0" collapsed="false">
      <c r="A29" s="5" t="s">
        <v>499</v>
      </c>
      <c r="B29" s="5" t="s">
        <v>488</v>
      </c>
      <c r="C29" s="5" t="s">
        <v>500</v>
      </c>
      <c r="D29" s="5" t="s">
        <v>501</v>
      </c>
      <c r="E29" s="5" t="s">
        <v>369</v>
      </c>
      <c r="F29" s="5" t="s">
        <v>391</v>
      </c>
      <c r="G29" s="5" t="s">
        <v>379</v>
      </c>
      <c r="H29" s="5" t="s">
        <v>385</v>
      </c>
      <c r="I29" s="6" t="s">
        <v>373</v>
      </c>
      <c r="J29" s="5" t="s">
        <v>502</v>
      </c>
      <c r="K29" s="5"/>
    </row>
    <row r="30" customFormat="false" ht="28.35" hidden="false" customHeight="false" outlineLevel="0" collapsed="false">
      <c r="A30" s="5" t="s">
        <v>503</v>
      </c>
      <c r="B30" s="5" t="s">
        <v>488</v>
      </c>
      <c r="C30" s="5" t="s">
        <v>504</v>
      </c>
      <c r="D30" s="5" t="s">
        <v>505</v>
      </c>
      <c r="E30" s="5" t="s">
        <v>369</v>
      </c>
      <c r="F30" s="5" t="s">
        <v>391</v>
      </c>
      <c r="G30" s="5" t="s">
        <v>371</v>
      </c>
      <c r="H30" s="5" t="s">
        <v>385</v>
      </c>
      <c r="I30" s="6" t="s">
        <v>373</v>
      </c>
      <c r="J30" s="5" t="s">
        <v>506</v>
      </c>
      <c r="K30" s="5"/>
    </row>
    <row r="31" customFormat="false" ht="15" hidden="false" customHeight="false" outlineLevel="0" collapsed="false">
      <c r="A31" s="5" t="s">
        <v>507</v>
      </c>
      <c r="B31" s="5" t="s">
        <v>488</v>
      </c>
      <c r="C31" s="5" t="s">
        <v>508</v>
      </c>
      <c r="D31" s="5" t="s">
        <v>509</v>
      </c>
      <c r="E31" s="5" t="s">
        <v>400</v>
      </c>
      <c r="F31" s="5" t="s">
        <v>391</v>
      </c>
      <c r="G31" s="5" t="s">
        <v>379</v>
      </c>
      <c r="H31" s="5" t="s">
        <v>385</v>
      </c>
      <c r="I31" s="8" t="s">
        <v>402</v>
      </c>
      <c r="J31" s="5" t="s">
        <v>510</v>
      </c>
      <c r="K31" s="5" t="s">
        <v>110</v>
      </c>
    </row>
    <row r="32" customFormat="false" ht="15" hidden="false" customHeight="false" outlineLevel="0" collapsed="false">
      <c r="A32" s="5" t="s">
        <v>511</v>
      </c>
      <c r="B32" s="5" t="s">
        <v>488</v>
      </c>
      <c r="C32" s="5" t="s">
        <v>512</v>
      </c>
      <c r="D32" s="5" t="s">
        <v>513</v>
      </c>
      <c r="E32" s="5" t="s">
        <v>369</v>
      </c>
      <c r="F32" s="5" t="s">
        <v>391</v>
      </c>
      <c r="G32" s="5" t="s">
        <v>371</v>
      </c>
      <c r="H32" s="5" t="s">
        <v>385</v>
      </c>
      <c r="I32" s="7" t="s">
        <v>386</v>
      </c>
      <c r="J32" s="5" t="s">
        <v>320</v>
      </c>
      <c r="K32" s="5"/>
    </row>
    <row r="33" customFormat="false" ht="28.35" hidden="false" customHeight="false" outlineLevel="0" collapsed="false">
      <c r="A33" s="5" t="s">
        <v>514</v>
      </c>
      <c r="B33" s="5" t="s">
        <v>488</v>
      </c>
      <c r="C33" s="5" t="s">
        <v>275</v>
      </c>
      <c r="D33" s="5" t="s">
        <v>515</v>
      </c>
      <c r="E33" s="5" t="s">
        <v>369</v>
      </c>
      <c r="F33" s="5" t="s">
        <v>391</v>
      </c>
      <c r="G33" s="5" t="s">
        <v>371</v>
      </c>
      <c r="H33" s="5" t="s">
        <v>439</v>
      </c>
      <c r="I33" s="6" t="s">
        <v>373</v>
      </c>
      <c r="J33" s="5" t="s">
        <v>516</v>
      </c>
      <c r="K33" s="5" t="s">
        <v>274</v>
      </c>
    </row>
    <row r="34" customFormat="false" ht="28.35" hidden="false" customHeight="false" outlineLevel="0" collapsed="false">
      <c r="A34" s="5" t="s">
        <v>517</v>
      </c>
      <c r="B34" s="5" t="s">
        <v>488</v>
      </c>
      <c r="C34" s="5" t="s">
        <v>518</v>
      </c>
      <c r="D34" s="5" t="s">
        <v>519</v>
      </c>
      <c r="E34" s="5" t="s">
        <v>369</v>
      </c>
      <c r="F34" s="5" t="s">
        <v>520</v>
      </c>
      <c r="G34" s="5" t="s">
        <v>371</v>
      </c>
      <c r="H34" s="5" t="s">
        <v>385</v>
      </c>
      <c r="I34" s="6" t="s">
        <v>373</v>
      </c>
      <c r="J34" s="5" t="s">
        <v>521</v>
      </c>
      <c r="K34" s="5"/>
    </row>
    <row r="35" customFormat="false" ht="15" hidden="false" customHeight="false" outlineLevel="0" collapsed="false">
      <c r="A35" s="5" t="s">
        <v>522</v>
      </c>
      <c r="B35" s="5" t="s">
        <v>488</v>
      </c>
      <c r="C35" s="5" t="s">
        <v>523</v>
      </c>
      <c r="D35" s="5" t="s">
        <v>524</v>
      </c>
      <c r="E35" s="5" t="s">
        <v>400</v>
      </c>
      <c r="F35" s="5" t="s">
        <v>391</v>
      </c>
      <c r="G35" s="5" t="s">
        <v>379</v>
      </c>
      <c r="H35" s="5" t="s">
        <v>385</v>
      </c>
      <c r="I35" s="10" t="s">
        <v>497</v>
      </c>
      <c r="J35" s="5" t="s">
        <v>525</v>
      </c>
      <c r="K35" s="5"/>
    </row>
    <row r="36" customFormat="false" ht="15" hidden="false" customHeight="false" outlineLevel="0" collapsed="false">
      <c r="A36" s="5" t="s">
        <v>526</v>
      </c>
      <c r="B36" s="5" t="s">
        <v>488</v>
      </c>
      <c r="C36" s="5" t="s">
        <v>527</v>
      </c>
      <c r="D36" s="5" t="s">
        <v>528</v>
      </c>
      <c r="E36" s="5" t="s">
        <v>400</v>
      </c>
      <c r="F36" s="5" t="s">
        <v>391</v>
      </c>
      <c r="G36" s="5" t="s">
        <v>379</v>
      </c>
      <c r="H36" s="5" t="s">
        <v>385</v>
      </c>
      <c r="I36" s="8" t="s">
        <v>402</v>
      </c>
      <c r="J36" s="5"/>
      <c r="K36" s="5"/>
    </row>
    <row r="37" customFormat="false" ht="28.35" hidden="false" customHeight="false" outlineLevel="0" collapsed="false">
      <c r="A37" s="5" t="s">
        <v>529</v>
      </c>
      <c r="B37" s="5" t="s">
        <v>488</v>
      </c>
      <c r="C37" s="5" t="s">
        <v>530</v>
      </c>
      <c r="D37" s="5" t="s">
        <v>531</v>
      </c>
      <c r="E37" s="5" t="s">
        <v>369</v>
      </c>
      <c r="F37" s="5" t="s">
        <v>532</v>
      </c>
      <c r="G37" s="5" t="s">
        <v>413</v>
      </c>
      <c r="H37" s="5" t="s">
        <v>385</v>
      </c>
      <c r="I37" s="6" t="s">
        <v>373</v>
      </c>
      <c r="J37" s="5" t="s">
        <v>533</v>
      </c>
      <c r="K37" s="5" t="s">
        <v>110</v>
      </c>
    </row>
    <row r="38" customFormat="false" ht="28.35" hidden="false" customHeight="false" outlineLevel="0" collapsed="false">
      <c r="A38" s="5" t="s">
        <v>534</v>
      </c>
      <c r="B38" s="5" t="s">
        <v>488</v>
      </c>
      <c r="C38" s="5" t="s">
        <v>535</v>
      </c>
      <c r="D38" s="5" t="s">
        <v>536</v>
      </c>
      <c r="E38" s="5" t="s">
        <v>369</v>
      </c>
      <c r="F38" s="5" t="s">
        <v>401</v>
      </c>
      <c r="G38" s="5" t="s">
        <v>413</v>
      </c>
      <c r="H38" s="5" t="s">
        <v>94</v>
      </c>
      <c r="I38" s="5" t="s">
        <v>537</v>
      </c>
      <c r="J38" s="5" t="s">
        <v>538</v>
      </c>
      <c r="K38" s="5" t="s">
        <v>110</v>
      </c>
    </row>
    <row r="39" customFormat="false" ht="15" hidden="false" customHeight="false" outlineLevel="0" collapsed="false">
      <c r="A39" s="5" t="s">
        <v>539</v>
      </c>
      <c r="B39" s="5" t="s">
        <v>488</v>
      </c>
      <c r="C39" s="5" t="s">
        <v>540</v>
      </c>
      <c r="D39" s="5" t="s">
        <v>541</v>
      </c>
      <c r="E39" s="5" t="s">
        <v>369</v>
      </c>
      <c r="F39" s="5" t="s">
        <v>542</v>
      </c>
      <c r="G39" s="5" t="s">
        <v>371</v>
      </c>
      <c r="H39" s="5" t="s">
        <v>385</v>
      </c>
      <c r="I39" s="6" t="s">
        <v>373</v>
      </c>
      <c r="J39" s="5"/>
      <c r="K39" s="5"/>
    </row>
    <row r="40" customFormat="false" ht="28.35" hidden="false" customHeight="false" outlineLevel="0" collapsed="false">
      <c r="A40" s="5" t="s">
        <v>543</v>
      </c>
      <c r="B40" s="5" t="s">
        <v>488</v>
      </c>
      <c r="C40" s="5" t="s">
        <v>544</v>
      </c>
      <c r="D40" s="5" t="s">
        <v>545</v>
      </c>
      <c r="E40" s="5" t="s">
        <v>400</v>
      </c>
      <c r="F40" s="5" t="s">
        <v>546</v>
      </c>
      <c r="G40" s="5" t="s">
        <v>379</v>
      </c>
      <c r="H40" s="5" t="s">
        <v>385</v>
      </c>
      <c r="I40" s="8" t="s">
        <v>402</v>
      </c>
      <c r="J40" s="5"/>
      <c r="K40" s="5"/>
    </row>
    <row r="41" customFormat="false" ht="28.35" hidden="false" customHeight="false" outlineLevel="0" collapsed="false">
      <c r="A41" s="5" t="s">
        <v>547</v>
      </c>
      <c r="B41" s="5" t="s">
        <v>488</v>
      </c>
      <c r="C41" s="5" t="s">
        <v>489</v>
      </c>
      <c r="D41" s="5" t="s">
        <v>548</v>
      </c>
      <c r="E41" s="5" t="s">
        <v>549</v>
      </c>
      <c r="F41" s="5" t="s">
        <v>550</v>
      </c>
      <c r="G41" s="5" t="s">
        <v>551</v>
      </c>
      <c r="H41" s="5" t="s">
        <v>552</v>
      </c>
      <c r="I41" s="9" t="s">
        <v>414</v>
      </c>
      <c r="J41" s="5" t="s">
        <v>553</v>
      </c>
      <c r="K41" s="5"/>
    </row>
    <row r="42" customFormat="false" ht="28.35" hidden="false" customHeight="false" outlineLevel="0" collapsed="false">
      <c r="A42" s="5" t="s">
        <v>554</v>
      </c>
      <c r="B42" s="5" t="s">
        <v>555</v>
      </c>
      <c r="C42" s="5" t="s">
        <v>556</v>
      </c>
      <c r="D42" s="5" t="s">
        <v>557</v>
      </c>
      <c r="E42" s="5" t="s">
        <v>369</v>
      </c>
      <c r="F42" s="5" t="s">
        <v>558</v>
      </c>
      <c r="G42" s="5" t="s">
        <v>371</v>
      </c>
      <c r="H42" s="5" t="s">
        <v>385</v>
      </c>
      <c r="I42" s="7" t="s">
        <v>386</v>
      </c>
      <c r="J42" s="5" t="s">
        <v>315</v>
      </c>
      <c r="K42" s="5"/>
    </row>
    <row r="43" customFormat="false" ht="15" hidden="false" customHeight="false" outlineLevel="0" collapsed="false">
      <c r="A43" s="5" t="s">
        <v>559</v>
      </c>
      <c r="B43" s="5" t="s">
        <v>555</v>
      </c>
      <c r="C43" s="5" t="s">
        <v>560</v>
      </c>
      <c r="D43" s="5" t="s">
        <v>561</v>
      </c>
      <c r="E43" s="5" t="s">
        <v>369</v>
      </c>
      <c r="F43" s="5" t="s">
        <v>562</v>
      </c>
      <c r="G43" s="5" t="s">
        <v>371</v>
      </c>
      <c r="H43" s="5" t="s">
        <v>385</v>
      </c>
      <c r="I43" s="6" t="s">
        <v>373</v>
      </c>
      <c r="J43" s="5" t="s">
        <v>563</v>
      </c>
      <c r="K43" s="5"/>
    </row>
    <row r="44" customFormat="false" ht="15" hidden="false" customHeight="false" outlineLevel="0" collapsed="false">
      <c r="A44" s="5" t="s">
        <v>564</v>
      </c>
      <c r="B44" s="5" t="s">
        <v>555</v>
      </c>
      <c r="C44" s="5" t="s">
        <v>565</v>
      </c>
      <c r="D44" s="5" t="s">
        <v>566</v>
      </c>
      <c r="E44" s="5" t="s">
        <v>369</v>
      </c>
      <c r="F44" s="5" t="s">
        <v>558</v>
      </c>
      <c r="G44" s="5" t="s">
        <v>371</v>
      </c>
      <c r="H44" s="5" t="s">
        <v>385</v>
      </c>
      <c r="I44" s="6" t="s">
        <v>373</v>
      </c>
      <c r="J44" s="5"/>
      <c r="K44" s="5"/>
    </row>
    <row r="45" customFormat="false" ht="15" hidden="false" customHeight="false" outlineLevel="0" collapsed="false">
      <c r="A45" s="5" t="s">
        <v>567</v>
      </c>
      <c r="B45" s="5" t="s">
        <v>555</v>
      </c>
      <c r="C45" s="5" t="s">
        <v>568</v>
      </c>
      <c r="D45" s="5" t="s">
        <v>569</v>
      </c>
      <c r="E45" s="5" t="s">
        <v>369</v>
      </c>
      <c r="F45" s="5" t="s">
        <v>558</v>
      </c>
      <c r="G45" s="5" t="s">
        <v>371</v>
      </c>
      <c r="H45" s="5" t="s">
        <v>385</v>
      </c>
      <c r="I45" s="6" t="s">
        <v>373</v>
      </c>
      <c r="J45" s="5"/>
      <c r="K45" s="5"/>
    </row>
    <row r="46" customFormat="false" ht="28.35" hidden="false" customHeight="false" outlineLevel="0" collapsed="false">
      <c r="A46" s="5" t="s">
        <v>570</v>
      </c>
      <c r="B46" s="5" t="s">
        <v>555</v>
      </c>
      <c r="C46" s="5" t="s">
        <v>228</v>
      </c>
      <c r="D46" s="5" t="s">
        <v>571</v>
      </c>
      <c r="E46" s="5" t="s">
        <v>369</v>
      </c>
      <c r="F46" s="5" t="s">
        <v>558</v>
      </c>
      <c r="G46" s="5" t="s">
        <v>413</v>
      </c>
      <c r="H46" s="5" t="s">
        <v>385</v>
      </c>
      <c r="I46" s="6" t="s">
        <v>572</v>
      </c>
      <c r="J46" s="5" t="s">
        <v>573</v>
      </c>
      <c r="K46" s="5" t="s">
        <v>227</v>
      </c>
    </row>
    <row r="47" customFormat="false" ht="15" hidden="false" customHeight="false" outlineLevel="0" collapsed="false">
      <c r="A47" s="5" t="s">
        <v>574</v>
      </c>
      <c r="B47" s="5" t="s">
        <v>555</v>
      </c>
      <c r="C47" s="5" t="s">
        <v>575</v>
      </c>
      <c r="D47" s="5" t="s">
        <v>576</v>
      </c>
      <c r="E47" s="5" t="s">
        <v>400</v>
      </c>
      <c r="F47" s="5" t="s">
        <v>577</v>
      </c>
      <c r="G47" s="5" t="s">
        <v>379</v>
      </c>
      <c r="H47" s="5" t="s">
        <v>385</v>
      </c>
      <c r="I47" s="8" t="s">
        <v>402</v>
      </c>
      <c r="J47" s="5" t="s">
        <v>578</v>
      </c>
      <c r="K47" s="5" t="s">
        <v>227</v>
      </c>
    </row>
    <row r="48" customFormat="false" ht="28.35" hidden="false" customHeight="false" outlineLevel="0" collapsed="false">
      <c r="A48" s="5" t="s">
        <v>579</v>
      </c>
      <c r="B48" s="5" t="s">
        <v>555</v>
      </c>
      <c r="C48" s="5" t="s">
        <v>580</v>
      </c>
      <c r="D48" s="5" t="s">
        <v>581</v>
      </c>
      <c r="E48" s="5" t="s">
        <v>369</v>
      </c>
      <c r="F48" s="5" t="s">
        <v>582</v>
      </c>
      <c r="G48" s="5" t="s">
        <v>413</v>
      </c>
      <c r="H48" s="5" t="s">
        <v>94</v>
      </c>
      <c r="I48" s="6" t="s">
        <v>419</v>
      </c>
      <c r="J48" s="5" t="s">
        <v>583</v>
      </c>
      <c r="K48" s="5" t="s">
        <v>116</v>
      </c>
    </row>
    <row r="49" customFormat="false" ht="15" hidden="false" customHeight="false" outlineLevel="0" collapsed="false">
      <c r="A49" s="5" t="s">
        <v>584</v>
      </c>
      <c r="B49" s="5" t="s">
        <v>555</v>
      </c>
      <c r="C49" s="5" t="s">
        <v>585</v>
      </c>
      <c r="D49" s="5" t="s">
        <v>586</v>
      </c>
      <c r="E49" s="5" t="s">
        <v>369</v>
      </c>
      <c r="F49" s="5" t="s">
        <v>587</v>
      </c>
      <c r="G49" s="5" t="s">
        <v>379</v>
      </c>
      <c r="H49" s="5" t="s">
        <v>385</v>
      </c>
      <c r="I49" s="6" t="s">
        <v>373</v>
      </c>
      <c r="J49" s="5"/>
      <c r="K49" s="5"/>
    </row>
    <row r="50" customFormat="false" ht="15" hidden="false" customHeight="false" outlineLevel="0" collapsed="false">
      <c r="A50" s="5" t="s">
        <v>588</v>
      </c>
      <c r="B50" s="5" t="s">
        <v>555</v>
      </c>
      <c r="C50" s="5" t="s">
        <v>589</v>
      </c>
      <c r="D50" s="5" t="s">
        <v>590</v>
      </c>
      <c r="E50" s="5" t="s">
        <v>369</v>
      </c>
      <c r="F50" s="5" t="s">
        <v>558</v>
      </c>
      <c r="G50" s="5" t="s">
        <v>371</v>
      </c>
      <c r="H50" s="5" t="s">
        <v>385</v>
      </c>
      <c r="I50" s="6" t="s">
        <v>373</v>
      </c>
      <c r="J50" s="5" t="s">
        <v>591</v>
      </c>
      <c r="K50" s="5"/>
    </row>
    <row r="51" customFormat="false" ht="28.35" hidden="false" customHeight="false" outlineLevel="0" collapsed="false">
      <c r="A51" s="5" t="s">
        <v>592</v>
      </c>
      <c r="B51" s="5" t="s">
        <v>555</v>
      </c>
      <c r="C51" s="5" t="s">
        <v>136</v>
      </c>
      <c r="D51" s="5" t="s">
        <v>593</v>
      </c>
      <c r="E51" s="5" t="s">
        <v>369</v>
      </c>
      <c r="F51" s="5" t="s">
        <v>594</v>
      </c>
      <c r="G51" s="5" t="s">
        <v>413</v>
      </c>
      <c r="H51" s="5" t="s">
        <v>595</v>
      </c>
      <c r="I51" s="6" t="s">
        <v>419</v>
      </c>
      <c r="J51" s="5" t="s">
        <v>596</v>
      </c>
      <c r="K51" s="5" t="s">
        <v>135</v>
      </c>
    </row>
    <row r="52" customFormat="false" ht="28.35" hidden="false" customHeight="false" outlineLevel="0" collapsed="false">
      <c r="A52" s="5" t="s">
        <v>597</v>
      </c>
      <c r="B52" s="5" t="s">
        <v>555</v>
      </c>
      <c r="C52" s="5" t="s">
        <v>598</v>
      </c>
      <c r="D52" s="5" t="s">
        <v>599</v>
      </c>
      <c r="E52" s="5" t="s">
        <v>369</v>
      </c>
      <c r="F52" s="5" t="s">
        <v>558</v>
      </c>
      <c r="G52" s="5" t="s">
        <v>379</v>
      </c>
      <c r="H52" s="5" t="s">
        <v>385</v>
      </c>
      <c r="I52" s="6" t="s">
        <v>600</v>
      </c>
      <c r="J52" s="5" t="s">
        <v>601</v>
      </c>
      <c r="K52" s="5" t="s">
        <v>246</v>
      </c>
    </row>
    <row r="53" customFormat="false" ht="15" hidden="false" customHeight="false" outlineLevel="0" collapsed="false">
      <c r="A53" s="5" t="s">
        <v>602</v>
      </c>
      <c r="B53" s="5" t="s">
        <v>555</v>
      </c>
      <c r="C53" s="5" t="s">
        <v>603</v>
      </c>
      <c r="D53" s="5" t="s">
        <v>604</v>
      </c>
      <c r="E53" s="5" t="s">
        <v>369</v>
      </c>
      <c r="F53" s="5" t="s">
        <v>605</v>
      </c>
      <c r="G53" s="5" t="s">
        <v>371</v>
      </c>
      <c r="H53" s="5" t="s">
        <v>385</v>
      </c>
      <c r="I53" s="6" t="s">
        <v>373</v>
      </c>
      <c r="J53" s="5"/>
      <c r="K53" s="5"/>
    </row>
    <row r="54" customFormat="false" ht="15" hidden="false" customHeight="false" outlineLevel="0" collapsed="false">
      <c r="A54" s="5" t="s">
        <v>606</v>
      </c>
      <c r="B54" s="5" t="s">
        <v>555</v>
      </c>
      <c r="C54" s="5" t="s">
        <v>607</v>
      </c>
      <c r="D54" s="5" t="s">
        <v>608</v>
      </c>
      <c r="E54" s="5" t="s">
        <v>369</v>
      </c>
      <c r="F54" s="5" t="s">
        <v>558</v>
      </c>
      <c r="G54" s="5" t="s">
        <v>413</v>
      </c>
      <c r="H54" s="5" t="s">
        <v>385</v>
      </c>
      <c r="I54" s="8" t="s">
        <v>402</v>
      </c>
      <c r="J54" s="5"/>
      <c r="K54" s="5" t="s">
        <v>233</v>
      </c>
    </row>
    <row r="55" customFormat="false" ht="15" hidden="false" customHeight="false" outlineLevel="0" collapsed="false">
      <c r="A55" s="5" t="s">
        <v>609</v>
      </c>
      <c r="B55" s="5" t="s">
        <v>555</v>
      </c>
      <c r="C55" s="5" t="s">
        <v>610</v>
      </c>
      <c r="D55" s="5" t="s">
        <v>611</v>
      </c>
      <c r="E55" s="5" t="s">
        <v>369</v>
      </c>
      <c r="F55" s="5" t="s">
        <v>558</v>
      </c>
      <c r="G55" s="5" t="s">
        <v>413</v>
      </c>
      <c r="H55" s="5" t="s">
        <v>385</v>
      </c>
      <c r="I55" s="10" t="s">
        <v>497</v>
      </c>
      <c r="J55" s="5" t="s">
        <v>612</v>
      </c>
      <c r="K55" s="5" t="s">
        <v>233</v>
      </c>
    </row>
    <row r="56" customFormat="false" ht="15" hidden="false" customHeight="false" outlineLevel="0" collapsed="false">
      <c r="A56" s="5" t="s">
        <v>613</v>
      </c>
      <c r="B56" s="5" t="s">
        <v>555</v>
      </c>
      <c r="C56" s="5" t="s">
        <v>614</v>
      </c>
      <c r="D56" s="5" t="s">
        <v>615</v>
      </c>
      <c r="E56" s="5" t="s">
        <v>407</v>
      </c>
      <c r="F56" s="5" t="s">
        <v>558</v>
      </c>
      <c r="G56" s="5" t="s">
        <v>379</v>
      </c>
      <c r="H56" s="5" t="s">
        <v>385</v>
      </c>
      <c r="I56" s="8" t="s">
        <v>402</v>
      </c>
      <c r="J56" s="5" t="s">
        <v>616</v>
      </c>
      <c r="K56" s="5" t="s">
        <v>239</v>
      </c>
    </row>
    <row r="57" customFormat="false" ht="28.35" hidden="false" customHeight="false" outlineLevel="0" collapsed="false">
      <c r="A57" s="5" t="s">
        <v>617</v>
      </c>
      <c r="B57" s="5" t="s">
        <v>555</v>
      </c>
      <c r="C57" s="5" t="s">
        <v>618</v>
      </c>
      <c r="D57" s="5" t="s">
        <v>619</v>
      </c>
      <c r="E57" s="5" t="s">
        <v>369</v>
      </c>
      <c r="F57" s="5" t="s">
        <v>620</v>
      </c>
      <c r="G57" s="5" t="s">
        <v>413</v>
      </c>
      <c r="H57" s="5" t="s">
        <v>94</v>
      </c>
      <c r="I57" s="6" t="s">
        <v>419</v>
      </c>
      <c r="J57" s="5" t="s">
        <v>621</v>
      </c>
      <c r="K57" s="5" t="s">
        <v>90</v>
      </c>
    </row>
    <row r="58" customFormat="false" ht="15" hidden="false" customHeight="false" outlineLevel="0" collapsed="false">
      <c r="A58" s="5" t="s">
        <v>622</v>
      </c>
      <c r="B58" s="5" t="s">
        <v>555</v>
      </c>
      <c r="C58" s="5" t="s">
        <v>623</v>
      </c>
      <c r="D58" s="5" t="s">
        <v>624</v>
      </c>
      <c r="E58" s="5" t="s">
        <v>400</v>
      </c>
      <c r="F58" s="5" t="s">
        <v>558</v>
      </c>
      <c r="G58" s="5" t="s">
        <v>379</v>
      </c>
      <c r="H58" s="5" t="s">
        <v>385</v>
      </c>
      <c r="I58" s="8" t="s">
        <v>402</v>
      </c>
      <c r="J58" s="5" t="s">
        <v>625</v>
      </c>
      <c r="K58" s="5" t="s">
        <v>267</v>
      </c>
    </row>
    <row r="59" customFormat="false" ht="15" hidden="false" customHeight="false" outlineLevel="0" collapsed="false">
      <c r="A59" s="5" t="s">
        <v>626</v>
      </c>
      <c r="B59" s="5" t="s">
        <v>555</v>
      </c>
      <c r="C59" s="5" t="s">
        <v>627</v>
      </c>
      <c r="D59" s="5" t="s">
        <v>628</v>
      </c>
      <c r="E59" s="5" t="s">
        <v>629</v>
      </c>
      <c r="F59" s="5" t="s">
        <v>577</v>
      </c>
      <c r="G59" s="5" t="s">
        <v>379</v>
      </c>
      <c r="H59" s="5" t="s">
        <v>630</v>
      </c>
      <c r="I59" s="8" t="s">
        <v>402</v>
      </c>
      <c r="J59" s="5" t="s">
        <v>631</v>
      </c>
      <c r="K59" s="5"/>
    </row>
    <row r="60" customFormat="false" ht="15" hidden="false" customHeight="false" outlineLevel="0" collapsed="false">
      <c r="A60" s="5" t="s">
        <v>632</v>
      </c>
      <c r="B60" s="5" t="s">
        <v>633</v>
      </c>
      <c r="C60" s="5" t="s">
        <v>634</v>
      </c>
      <c r="D60" s="5" t="s">
        <v>635</v>
      </c>
      <c r="E60" s="5" t="s">
        <v>369</v>
      </c>
      <c r="F60" s="5" t="s">
        <v>636</v>
      </c>
      <c r="G60" s="5" t="s">
        <v>371</v>
      </c>
      <c r="H60" s="5" t="s">
        <v>385</v>
      </c>
      <c r="I60" s="6" t="s">
        <v>373</v>
      </c>
      <c r="J60" s="5"/>
      <c r="K60" s="5"/>
    </row>
    <row r="61" customFormat="false" ht="15" hidden="false" customHeight="false" outlineLevel="0" collapsed="false">
      <c r="A61" s="5" t="s">
        <v>637</v>
      </c>
      <c r="B61" s="5" t="s">
        <v>633</v>
      </c>
      <c r="C61" s="5" t="s">
        <v>638</v>
      </c>
      <c r="D61" s="5" t="s">
        <v>639</v>
      </c>
      <c r="E61" s="5" t="s">
        <v>369</v>
      </c>
      <c r="F61" s="5" t="s">
        <v>636</v>
      </c>
      <c r="G61" s="5" t="s">
        <v>371</v>
      </c>
      <c r="H61" s="5" t="s">
        <v>385</v>
      </c>
      <c r="I61" s="6" t="s">
        <v>373</v>
      </c>
      <c r="J61" s="5" t="s">
        <v>640</v>
      </c>
      <c r="K61" s="5"/>
    </row>
    <row r="62" customFormat="false" ht="15" hidden="false" customHeight="false" outlineLevel="0" collapsed="false">
      <c r="A62" s="5" t="s">
        <v>641</v>
      </c>
      <c r="B62" s="5" t="s">
        <v>633</v>
      </c>
      <c r="C62" s="5" t="s">
        <v>642</v>
      </c>
      <c r="D62" s="5" t="s">
        <v>643</v>
      </c>
      <c r="E62" s="5" t="s">
        <v>369</v>
      </c>
      <c r="F62" s="5" t="s">
        <v>636</v>
      </c>
      <c r="G62" s="5" t="s">
        <v>371</v>
      </c>
      <c r="H62" s="5" t="s">
        <v>385</v>
      </c>
      <c r="I62" s="6" t="s">
        <v>373</v>
      </c>
      <c r="J62" s="5"/>
      <c r="K62" s="5"/>
    </row>
    <row r="63" customFormat="false" ht="15" hidden="false" customHeight="false" outlineLevel="0" collapsed="false">
      <c r="A63" s="5" t="s">
        <v>644</v>
      </c>
      <c r="B63" s="5" t="s">
        <v>633</v>
      </c>
      <c r="C63" s="5" t="s">
        <v>645</v>
      </c>
      <c r="D63" s="5" t="s">
        <v>646</v>
      </c>
      <c r="E63" s="5" t="s">
        <v>369</v>
      </c>
      <c r="F63" s="5" t="s">
        <v>636</v>
      </c>
      <c r="G63" s="5" t="s">
        <v>379</v>
      </c>
      <c r="H63" s="5" t="s">
        <v>385</v>
      </c>
      <c r="I63" s="6" t="s">
        <v>373</v>
      </c>
      <c r="J63" s="5" t="s">
        <v>647</v>
      </c>
      <c r="K63" s="5"/>
    </row>
    <row r="64" customFormat="false" ht="15" hidden="false" customHeight="false" outlineLevel="0" collapsed="false">
      <c r="A64" s="5" t="s">
        <v>648</v>
      </c>
      <c r="B64" s="5" t="s">
        <v>633</v>
      </c>
      <c r="C64" s="5" t="s">
        <v>649</v>
      </c>
      <c r="D64" s="5" t="s">
        <v>650</v>
      </c>
      <c r="E64" s="5" t="s">
        <v>407</v>
      </c>
      <c r="F64" s="5" t="s">
        <v>636</v>
      </c>
      <c r="G64" s="5" t="s">
        <v>379</v>
      </c>
      <c r="H64" s="5" t="s">
        <v>385</v>
      </c>
      <c r="I64" s="8" t="s">
        <v>402</v>
      </c>
      <c r="J64" s="5"/>
      <c r="K64" s="5"/>
    </row>
    <row r="65" customFormat="false" ht="15" hidden="false" customHeight="false" outlineLevel="0" collapsed="false">
      <c r="A65" s="5" t="s">
        <v>651</v>
      </c>
      <c r="B65" s="5" t="s">
        <v>633</v>
      </c>
      <c r="C65" s="5" t="s">
        <v>652</v>
      </c>
      <c r="D65" s="5" t="s">
        <v>653</v>
      </c>
      <c r="E65" s="5" t="s">
        <v>400</v>
      </c>
      <c r="F65" s="5" t="s">
        <v>636</v>
      </c>
      <c r="G65" s="5" t="s">
        <v>379</v>
      </c>
      <c r="H65" s="5" t="s">
        <v>385</v>
      </c>
      <c r="I65" s="8" t="s">
        <v>402</v>
      </c>
      <c r="J65" s="5"/>
      <c r="K65" s="5"/>
    </row>
    <row r="66" customFormat="false" ht="15" hidden="false" customHeight="false" outlineLevel="0" collapsed="false">
      <c r="A66" s="5" t="s">
        <v>654</v>
      </c>
      <c r="B66" s="5" t="s">
        <v>633</v>
      </c>
      <c r="C66" s="5" t="s">
        <v>655</v>
      </c>
      <c r="D66" s="5"/>
      <c r="E66" s="5" t="s">
        <v>400</v>
      </c>
      <c r="F66" s="5" t="s">
        <v>636</v>
      </c>
      <c r="G66" s="5" t="s">
        <v>379</v>
      </c>
      <c r="H66" s="5" t="s">
        <v>385</v>
      </c>
      <c r="I66" s="8" t="s">
        <v>402</v>
      </c>
      <c r="J66" s="5"/>
      <c r="K66" s="5"/>
    </row>
    <row r="67" customFormat="false" ht="15" hidden="false" customHeight="false" outlineLevel="0" collapsed="false">
      <c r="A67" s="5" t="s">
        <v>656</v>
      </c>
      <c r="B67" s="5" t="s">
        <v>633</v>
      </c>
      <c r="C67" s="5" t="s">
        <v>657</v>
      </c>
      <c r="D67" s="5" t="s">
        <v>658</v>
      </c>
      <c r="E67" s="5" t="s">
        <v>369</v>
      </c>
      <c r="F67" s="5" t="s">
        <v>636</v>
      </c>
      <c r="G67" s="5" t="s">
        <v>371</v>
      </c>
      <c r="H67" s="5" t="s">
        <v>385</v>
      </c>
      <c r="I67" s="6" t="s">
        <v>373</v>
      </c>
      <c r="J67" s="5" t="s">
        <v>659</v>
      </c>
      <c r="K67" s="5"/>
    </row>
    <row r="68" customFormat="false" ht="15" hidden="false" customHeight="false" outlineLevel="0" collapsed="false">
      <c r="A68" s="5" t="s">
        <v>660</v>
      </c>
      <c r="B68" s="5" t="s">
        <v>633</v>
      </c>
      <c r="C68" s="5" t="s">
        <v>661</v>
      </c>
      <c r="D68" s="5" t="s">
        <v>662</v>
      </c>
      <c r="E68" s="5" t="s">
        <v>400</v>
      </c>
      <c r="F68" s="5" t="s">
        <v>636</v>
      </c>
      <c r="G68" s="5" t="s">
        <v>379</v>
      </c>
      <c r="H68" s="5" t="s">
        <v>385</v>
      </c>
      <c r="I68" s="8" t="s">
        <v>402</v>
      </c>
      <c r="J68" s="5" t="s">
        <v>663</v>
      </c>
      <c r="K68" s="5"/>
    </row>
    <row r="69" customFormat="false" ht="15" hidden="false" customHeight="false" outlineLevel="0" collapsed="false">
      <c r="A69" s="5" t="s">
        <v>664</v>
      </c>
      <c r="B69" s="5" t="s">
        <v>633</v>
      </c>
      <c r="C69" s="5" t="s">
        <v>665</v>
      </c>
      <c r="D69" s="5" t="s">
        <v>666</v>
      </c>
      <c r="E69" s="5" t="s">
        <v>407</v>
      </c>
      <c r="F69" s="5" t="s">
        <v>636</v>
      </c>
      <c r="G69" s="5" t="s">
        <v>379</v>
      </c>
      <c r="H69" s="5" t="s">
        <v>385</v>
      </c>
      <c r="I69" s="8" t="s">
        <v>402</v>
      </c>
      <c r="J69" s="5"/>
      <c r="K69" s="5"/>
    </row>
    <row r="70" customFormat="false" ht="15" hidden="false" customHeight="false" outlineLevel="0" collapsed="false">
      <c r="A70" s="5" t="s">
        <v>667</v>
      </c>
      <c r="B70" s="5" t="s">
        <v>633</v>
      </c>
      <c r="C70" s="5" t="s">
        <v>668</v>
      </c>
      <c r="D70" s="5" t="s">
        <v>669</v>
      </c>
      <c r="E70" s="5" t="s">
        <v>629</v>
      </c>
      <c r="F70" s="5" t="s">
        <v>636</v>
      </c>
      <c r="G70" s="5" t="s">
        <v>379</v>
      </c>
      <c r="H70" s="5" t="s">
        <v>243</v>
      </c>
      <c r="I70" s="8" t="s">
        <v>402</v>
      </c>
      <c r="J70" s="5" t="s">
        <v>670</v>
      </c>
      <c r="K70" s="5"/>
    </row>
    <row r="71" customFormat="false" ht="15" hidden="false" customHeight="false" outlineLevel="0" collapsed="false">
      <c r="A71" s="5" t="s">
        <v>671</v>
      </c>
      <c r="B71" s="5" t="s">
        <v>672</v>
      </c>
      <c r="C71" s="5" t="s">
        <v>673</v>
      </c>
      <c r="D71" s="5" t="s">
        <v>674</v>
      </c>
      <c r="E71" s="5" t="s">
        <v>369</v>
      </c>
      <c r="F71" s="5" t="s">
        <v>546</v>
      </c>
      <c r="G71" s="5" t="s">
        <v>371</v>
      </c>
      <c r="H71" s="5" t="s">
        <v>385</v>
      </c>
      <c r="I71" s="6" t="s">
        <v>373</v>
      </c>
      <c r="J71" s="5"/>
      <c r="K71" s="5"/>
    </row>
    <row r="72" customFormat="false" ht="15" hidden="false" customHeight="false" outlineLevel="0" collapsed="false">
      <c r="A72" s="5" t="s">
        <v>675</v>
      </c>
      <c r="B72" s="5" t="s">
        <v>672</v>
      </c>
      <c r="C72" s="5" t="s">
        <v>676</v>
      </c>
      <c r="D72" s="5" t="s">
        <v>677</v>
      </c>
      <c r="E72" s="5" t="s">
        <v>369</v>
      </c>
      <c r="F72" s="5" t="s">
        <v>546</v>
      </c>
      <c r="G72" s="5" t="s">
        <v>371</v>
      </c>
      <c r="H72" s="5" t="s">
        <v>385</v>
      </c>
      <c r="I72" s="6" t="s">
        <v>373</v>
      </c>
      <c r="J72" s="5" t="s">
        <v>678</v>
      </c>
      <c r="K72" s="5" t="s">
        <v>679</v>
      </c>
    </row>
    <row r="73" customFormat="false" ht="15" hidden="false" customHeight="false" outlineLevel="0" collapsed="false">
      <c r="A73" s="5" t="s">
        <v>680</v>
      </c>
      <c r="B73" s="5" t="s">
        <v>672</v>
      </c>
      <c r="C73" s="5" t="s">
        <v>681</v>
      </c>
      <c r="D73" s="5" t="s">
        <v>682</v>
      </c>
      <c r="E73" s="5" t="s">
        <v>400</v>
      </c>
      <c r="F73" s="5" t="s">
        <v>546</v>
      </c>
      <c r="G73" s="5" t="s">
        <v>379</v>
      </c>
      <c r="H73" s="5" t="s">
        <v>385</v>
      </c>
      <c r="I73" s="8" t="s">
        <v>402</v>
      </c>
      <c r="J73" s="5"/>
      <c r="K73" s="5"/>
    </row>
    <row r="74" customFormat="false" ht="15" hidden="false" customHeight="false" outlineLevel="0" collapsed="false">
      <c r="A74" s="5" t="s">
        <v>683</v>
      </c>
      <c r="B74" s="5" t="s">
        <v>672</v>
      </c>
      <c r="C74" s="5" t="s">
        <v>684</v>
      </c>
      <c r="D74" s="5"/>
      <c r="E74" s="5" t="s">
        <v>400</v>
      </c>
      <c r="F74" s="5" t="s">
        <v>546</v>
      </c>
      <c r="G74" s="5" t="s">
        <v>379</v>
      </c>
      <c r="H74" s="5" t="s">
        <v>385</v>
      </c>
      <c r="I74" s="8" t="s">
        <v>402</v>
      </c>
      <c r="J74" s="5"/>
      <c r="K74" s="5"/>
    </row>
    <row r="75" customFormat="false" ht="15" hidden="false" customHeight="false" outlineLevel="0" collapsed="false">
      <c r="A75" s="5" t="s">
        <v>685</v>
      </c>
      <c r="B75" s="5" t="s">
        <v>672</v>
      </c>
      <c r="C75" s="5" t="s">
        <v>686</v>
      </c>
      <c r="D75" s="5" t="s">
        <v>687</v>
      </c>
      <c r="E75" s="5" t="s">
        <v>369</v>
      </c>
      <c r="F75" s="5" t="s">
        <v>546</v>
      </c>
      <c r="G75" s="5" t="s">
        <v>371</v>
      </c>
      <c r="H75" s="5" t="s">
        <v>385</v>
      </c>
      <c r="I75" s="6" t="s">
        <v>373</v>
      </c>
      <c r="J75" s="5" t="s">
        <v>688</v>
      </c>
      <c r="K75" s="5"/>
    </row>
    <row r="76" customFormat="false" ht="15" hidden="false" customHeight="false" outlineLevel="0" collapsed="false">
      <c r="A76" s="5" t="s">
        <v>689</v>
      </c>
      <c r="B76" s="5" t="s">
        <v>672</v>
      </c>
      <c r="C76" s="5" t="s">
        <v>690</v>
      </c>
      <c r="D76" s="5" t="s">
        <v>691</v>
      </c>
      <c r="E76" s="5" t="s">
        <v>369</v>
      </c>
      <c r="F76" s="5" t="s">
        <v>546</v>
      </c>
      <c r="G76" s="5" t="s">
        <v>379</v>
      </c>
      <c r="H76" s="5" t="s">
        <v>439</v>
      </c>
      <c r="I76" s="6" t="s">
        <v>373</v>
      </c>
      <c r="J76" s="5"/>
      <c r="K76" s="5"/>
    </row>
    <row r="77" customFormat="false" ht="15" hidden="false" customHeight="false" outlineLevel="0" collapsed="false">
      <c r="A77" s="5" t="s">
        <v>692</v>
      </c>
      <c r="B77" s="5" t="s">
        <v>672</v>
      </c>
      <c r="C77" s="5" t="s">
        <v>693</v>
      </c>
      <c r="D77" s="5" t="s">
        <v>694</v>
      </c>
      <c r="E77" s="5" t="s">
        <v>369</v>
      </c>
      <c r="F77" s="5" t="s">
        <v>695</v>
      </c>
      <c r="G77" s="5" t="s">
        <v>379</v>
      </c>
      <c r="H77" s="5" t="s">
        <v>385</v>
      </c>
      <c r="I77" s="6" t="s">
        <v>373</v>
      </c>
      <c r="J77" s="5" t="s">
        <v>696</v>
      </c>
      <c r="K77" s="5"/>
    </row>
    <row r="78" customFormat="false" ht="28.35" hidden="false" customHeight="false" outlineLevel="0" collapsed="false">
      <c r="A78" s="5" t="s">
        <v>697</v>
      </c>
      <c r="B78" s="5" t="s">
        <v>672</v>
      </c>
      <c r="C78" s="5" t="s">
        <v>698</v>
      </c>
      <c r="D78" s="5" t="s">
        <v>699</v>
      </c>
      <c r="E78" s="5" t="s">
        <v>369</v>
      </c>
      <c r="F78" s="5" t="s">
        <v>700</v>
      </c>
      <c r="G78" s="5" t="s">
        <v>413</v>
      </c>
      <c r="H78" s="5" t="s">
        <v>701</v>
      </c>
      <c r="I78" s="9" t="s">
        <v>414</v>
      </c>
      <c r="J78" s="5" t="s">
        <v>702</v>
      </c>
      <c r="K78" s="5" t="s">
        <v>97</v>
      </c>
    </row>
    <row r="79" customFormat="false" ht="15" hidden="false" customHeight="false" outlineLevel="0" collapsed="false">
      <c r="A79" s="5" t="s">
        <v>703</v>
      </c>
      <c r="B79" s="5" t="s">
        <v>672</v>
      </c>
      <c r="C79" s="5" t="s">
        <v>704</v>
      </c>
      <c r="D79" s="5" t="s">
        <v>705</v>
      </c>
      <c r="E79" s="5" t="s">
        <v>369</v>
      </c>
      <c r="F79" s="5" t="s">
        <v>546</v>
      </c>
      <c r="G79" s="5" t="s">
        <v>379</v>
      </c>
      <c r="H79" s="5" t="s">
        <v>385</v>
      </c>
      <c r="I79" s="6" t="s">
        <v>373</v>
      </c>
      <c r="J79" s="5" t="s">
        <v>706</v>
      </c>
      <c r="K79" s="5"/>
    </row>
    <row r="80" customFormat="false" ht="15" hidden="false" customHeight="false" outlineLevel="0" collapsed="false">
      <c r="A80" s="5" t="s">
        <v>707</v>
      </c>
      <c r="B80" s="5" t="s">
        <v>672</v>
      </c>
      <c r="C80" s="5" t="s">
        <v>708</v>
      </c>
      <c r="D80" s="5" t="s">
        <v>709</v>
      </c>
      <c r="E80" s="5" t="s">
        <v>407</v>
      </c>
      <c r="F80" s="5" t="s">
        <v>546</v>
      </c>
      <c r="G80" s="5" t="s">
        <v>379</v>
      </c>
      <c r="H80" s="5" t="s">
        <v>408</v>
      </c>
      <c r="I80" s="8" t="s">
        <v>402</v>
      </c>
      <c r="J80" s="5"/>
      <c r="K80" s="5" t="s">
        <v>208</v>
      </c>
    </row>
    <row r="81" customFormat="false" ht="15" hidden="false" customHeight="false" outlineLevel="0" collapsed="false">
      <c r="A81" s="5" t="s">
        <v>710</v>
      </c>
      <c r="B81" s="5" t="s">
        <v>711</v>
      </c>
      <c r="C81" s="5" t="s">
        <v>712</v>
      </c>
      <c r="D81" s="5" t="s">
        <v>713</v>
      </c>
      <c r="E81" s="5" t="s">
        <v>369</v>
      </c>
      <c r="F81" s="5" t="s">
        <v>714</v>
      </c>
      <c r="G81" s="5" t="s">
        <v>413</v>
      </c>
      <c r="H81" s="5" t="s">
        <v>385</v>
      </c>
      <c r="I81" s="7" t="s">
        <v>386</v>
      </c>
      <c r="J81" s="5" t="s">
        <v>715</v>
      </c>
      <c r="K81" s="5" t="s">
        <v>97</v>
      </c>
    </row>
    <row r="82" customFormat="false" ht="15" hidden="false" customHeight="false" outlineLevel="0" collapsed="false">
      <c r="A82" s="5" t="s">
        <v>716</v>
      </c>
      <c r="B82" s="5" t="s">
        <v>711</v>
      </c>
      <c r="C82" s="5" t="s">
        <v>717</v>
      </c>
      <c r="D82" s="5" t="s">
        <v>718</v>
      </c>
      <c r="E82" s="5" t="s">
        <v>400</v>
      </c>
      <c r="F82" s="5" t="s">
        <v>714</v>
      </c>
      <c r="G82" s="5" t="s">
        <v>379</v>
      </c>
      <c r="H82" s="5" t="s">
        <v>385</v>
      </c>
      <c r="I82" s="6" t="s">
        <v>373</v>
      </c>
      <c r="J82" s="5" t="s">
        <v>719</v>
      </c>
      <c r="K82" s="5"/>
    </row>
    <row r="83" customFormat="false" ht="15" hidden="false" customHeight="false" outlineLevel="0" collapsed="false">
      <c r="A83" s="5" t="s">
        <v>720</v>
      </c>
      <c r="B83" s="5" t="s">
        <v>711</v>
      </c>
      <c r="C83" s="5" t="s">
        <v>721</v>
      </c>
      <c r="D83" s="5" t="s">
        <v>722</v>
      </c>
      <c r="E83" s="5" t="s">
        <v>369</v>
      </c>
      <c r="F83" s="5" t="s">
        <v>714</v>
      </c>
      <c r="G83" s="5" t="s">
        <v>371</v>
      </c>
      <c r="H83" s="5" t="s">
        <v>385</v>
      </c>
      <c r="I83" s="6" t="s">
        <v>373</v>
      </c>
      <c r="J83" s="5"/>
      <c r="K83" s="5"/>
    </row>
    <row r="84" customFormat="false" ht="15" hidden="false" customHeight="false" outlineLevel="0" collapsed="false">
      <c r="A84" s="5" t="s">
        <v>723</v>
      </c>
      <c r="B84" s="5" t="s">
        <v>711</v>
      </c>
      <c r="C84" s="5" t="s">
        <v>724</v>
      </c>
      <c r="D84" s="5" t="s">
        <v>725</v>
      </c>
      <c r="E84" s="5" t="s">
        <v>369</v>
      </c>
      <c r="F84" s="5" t="s">
        <v>714</v>
      </c>
      <c r="G84" s="5" t="s">
        <v>379</v>
      </c>
      <c r="H84" s="5" t="s">
        <v>385</v>
      </c>
      <c r="I84" s="10" t="s">
        <v>497</v>
      </c>
      <c r="J84" s="5" t="s">
        <v>726</v>
      </c>
      <c r="K84" s="5"/>
    </row>
    <row r="85" customFormat="false" ht="15" hidden="false" customHeight="false" outlineLevel="0" collapsed="false">
      <c r="A85" s="5" t="s">
        <v>727</v>
      </c>
      <c r="B85" s="5" t="s">
        <v>711</v>
      </c>
      <c r="C85" s="5" t="s">
        <v>728</v>
      </c>
      <c r="D85" s="5" t="s">
        <v>729</v>
      </c>
      <c r="E85" s="5" t="s">
        <v>369</v>
      </c>
      <c r="F85" s="5" t="s">
        <v>714</v>
      </c>
      <c r="G85" s="5" t="s">
        <v>371</v>
      </c>
      <c r="H85" s="5" t="s">
        <v>385</v>
      </c>
      <c r="I85" s="6" t="s">
        <v>373</v>
      </c>
      <c r="J85" s="5" t="s">
        <v>730</v>
      </c>
      <c r="K85" s="5"/>
    </row>
    <row r="86" customFormat="false" ht="15" hidden="false" customHeight="false" outlineLevel="0" collapsed="false">
      <c r="A86" s="5" t="s">
        <v>731</v>
      </c>
      <c r="B86" s="5" t="s">
        <v>711</v>
      </c>
      <c r="C86" s="5" t="s">
        <v>732</v>
      </c>
      <c r="D86" s="5" t="s">
        <v>733</v>
      </c>
      <c r="E86" s="5" t="s">
        <v>400</v>
      </c>
      <c r="F86" s="5" t="s">
        <v>714</v>
      </c>
      <c r="G86" s="5" t="s">
        <v>379</v>
      </c>
      <c r="H86" s="5" t="s">
        <v>385</v>
      </c>
      <c r="I86" s="10" t="s">
        <v>497</v>
      </c>
      <c r="J86" s="5" t="s">
        <v>734</v>
      </c>
      <c r="K86" s="5"/>
    </row>
    <row r="87" customFormat="false" ht="15" hidden="false" customHeight="false" outlineLevel="0" collapsed="false">
      <c r="A87" s="5" t="s">
        <v>735</v>
      </c>
      <c r="B87" s="5" t="s">
        <v>711</v>
      </c>
      <c r="C87" s="5" t="s">
        <v>736</v>
      </c>
      <c r="D87" s="5" t="s">
        <v>737</v>
      </c>
      <c r="E87" s="5" t="s">
        <v>400</v>
      </c>
      <c r="F87" s="5" t="s">
        <v>714</v>
      </c>
      <c r="G87" s="5" t="s">
        <v>379</v>
      </c>
      <c r="H87" s="5" t="s">
        <v>385</v>
      </c>
      <c r="I87" s="8" t="s">
        <v>402</v>
      </c>
      <c r="J87" s="5"/>
      <c r="K87" s="5"/>
    </row>
    <row r="88" customFormat="false" ht="15" hidden="false" customHeight="false" outlineLevel="0" collapsed="false">
      <c r="A88" s="5" t="s">
        <v>738</v>
      </c>
      <c r="B88" s="5" t="s">
        <v>711</v>
      </c>
      <c r="C88" s="5" t="s">
        <v>739</v>
      </c>
      <c r="D88" s="5" t="s">
        <v>740</v>
      </c>
      <c r="E88" s="5" t="s">
        <v>407</v>
      </c>
      <c r="F88" s="5" t="s">
        <v>714</v>
      </c>
      <c r="G88" s="5" t="s">
        <v>379</v>
      </c>
      <c r="H88" s="5" t="s">
        <v>385</v>
      </c>
      <c r="I88" s="8" t="s">
        <v>402</v>
      </c>
      <c r="J88" s="5" t="s">
        <v>741</v>
      </c>
      <c r="K88" s="5"/>
    </row>
    <row r="89" customFormat="false" ht="15" hidden="false" customHeight="false" outlineLevel="0" collapsed="false">
      <c r="A89" s="5" t="s">
        <v>742</v>
      </c>
      <c r="B89" s="5" t="s">
        <v>743</v>
      </c>
      <c r="C89" s="5" t="s">
        <v>104</v>
      </c>
      <c r="D89" s="5" t="s">
        <v>744</v>
      </c>
      <c r="E89" s="5" t="s">
        <v>369</v>
      </c>
      <c r="F89" s="5" t="s">
        <v>745</v>
      </c>
      <c r="G89" s="5" t="s">
        <v>371</v>
      </c>
      <c r="H89" s="5" t="s">
        <v>385</v>
      </c>
      <c r="I89" s="7" t="s">
        <v>386</v>
      </c>
      <c r="J89" s="5" t="s">
        <v>335</v>
      </c>
      <c r="K89" s="5" t="s">
        <v>103</v>
      </c>
    </row>
    <row r="90" customFormat="false" ht="15" hidden="false" customHeight="false" outlineLevel="0" collapsed="false">
      <c r="A90" s="5" t="s">
        <v>746</v>
      </c>
      <c r="B90" s="5" t="s">
        <v>743</v>
      </c>
      <c r="C90" s="5" t="s">
        <v>747</v>
      </c>
      <c r="D90" s="5" t="s">
        <v>748</v>
      </c>
      <c r="E90" s="5" t="s">
        <v>369</v>
      </c>
      <c r="F90" s="5" t="s">
        <v>745</v>
      </c>
      <c r="G90" s="5" t="s">
        <v>413</v>
      </c>
      <c r="H90" s="5" t="s">
        <v>385</v>
      </c>
      <c r="I90" s="7" t="s">
        <v>386</v>
      </c>
      <c r="J90" s="5" t="s">
        <v>749</v>
      </c>
      <c r="K90" s="5" t="s">
        <v>97</v>
      </c>
    </row>
    <row r="91" customFormat="false" ht="15" hidden="false" customHeight="false" outlineLevel="0" collapsed="false">
      <c r="A91" s="5" t="s">
        <v>750</v>
      </c>
      <c r="B91" s="5" t="s">
        <v>743</v>
      </c>
      <c r="C91" s="5" t="s">
        <v>751</v>
      </c>
      <c r="D91" s="5" t="s">
        <v>752</v>
      </c>
      <c r="E91" s="5" t="s">
        <v>369</v>
      </c>
      <c r="F91" s="5" t="s">
        <v>745</v>
      </c>
      <c r="G91" s="5" t="s">
        <v>371</v>
      </c>
      <c r="H91" s="5" t="s">
        <v>385</v>
      </c>
      <c r="I91" s="6" t="s">
        <v>373</v>
      </c>
      <c r="J91" s="5"/>
      <c r="K91" s="5"/>
    </row>
    <row r="92" customFormat="false" ht="15" hidden="false" customHeight="false" outlineLevel="0" collapsed="false">
      <c r="A92" s="5" t="s">
        <v>753</v>
      </c>
      <c r="B92" s="5" t="s">
        <v>743</v>
      </c>
      <c r="C92" s="5" t="s">
        <v>754</v>
      </c>
      <c r="D92" s="5" t="s">
        <v>755</v>
      </c>
      <c r="E92" s="5" t="s">
        <v>400</v>
      </c>
      <c r="F92" s="5" t="s">
        <v>745</v>
      </c>
      <c r="G92" s="5" t="s">
        <v>379</v>
      </c>
      <c r="H92" s="5" t="s">
        <v>385</v>
      </c>
      <c r="I92" s="8" t="s">
        <v>402</v>
      </c>
      <c r="J92" s="5"/>
      <c r="K92" s="5"/>
    </row>
    <row r="93" customFormat="false" ht="15" hidden="false" customHeight="false" outlineLevel="0" collapsed="false">
      <c r="A93" s="5" t="s">
        <v>756</v>
      </c>
      <c r="B93" s="5" t="s">
        <v>743</v>
      </c>
      <c r="C93" s="5" t="s">
        <v>757</v>
      </c>
      <c r="D93" s="5" t="s">
        <v>758</v>
      </c>
      <c r="E93" s="5" t="s">
        <v>369</v>
      </c>
      <c r="F93" s="5" t="s">
        <v>745</v>
      </c>
      <c r="G93" s="5" t="s">
        <v>371</v>
      </c>
      <c r="H93" s="5" t="s">
        <v>385</v>
      </c>
      <c r="I93" s="6" t="s">
        <v>373</v>
      </c>
      <c r="J93" s="5"/>
      <c r="K93" s="5"/>
    </row>
    <row r="94" customFormat="false" ht="15" hidden="false" customHeight="false" outlineLevel="0" collapsed="false">
      <c r="A94" s="5" t="s">
        <v>759</v>
      </c>
      <c r="B94" s="5" t="s">
        <v>743</v>
      </c>
      <c r="C94" s="5" t="s">
        <v>760</v>
      </c>
      <c r="D94" s="5" t="s">
        <v>761</v>
      </c>
      <c r="E94" s="5" t="s">
        <v>369</v>
      </c>
      <c r="F94" s="5" t="s">
        <v>745</v>
      </c>
      <c r="G94" s="5" t="s">
        <v>371</v>
      </c>
      <c r="H94" s="5" t="s">
        <v>385</v>
      </c>
      <c r="I94" s="6" t="s">
        <v>373</v>
      </c>
      <c r="J94" s="5"/>
      <c r="K94" s="5"/>
    </row>
    <row r="95" customFormat="false" ht="15" hidden="false" customHeight="false" outlineLevel="0" collapsed="false">
      <c r="A95" s="5" t="s">
        <v>762</v>
      </c>
      <c r="B95" s="5" t="s">
        <v>743</v>
      </c>
      <c r="C95" s="5" t="s">
        <v>763</v>
      </c>
      <c r="D95" s="5" t="s">
        <v>764</v>
      </c>
      <c r="E95" s="5" t="s">
        <v>373</v>
      </c>
      <c r="F95" s="5" t="s">
        <v>424</v>
      </c>
      <c r="G95" s="5" t="s">
        <v>425</v>
      </c>
      <c r="H95" s="5" t="s">
        <v>552</v>
      </c>
      <c r="I95" s="9" t="s">
        <v>414</v>
      </c>
      <c r="J95" s="5" t="s">
        <v>765</v>
      </c>
      <c r="K95" s="5"/>
    </row>
    <row r="96" customFormat="false" ht="28.35" hidden="false" customHeight="false" outlineLevel="0" collapsed="false">
      <c r="A96" s="5" t="s">
        <v>766</v>
      </c>
      <c r="B96" s="5" t="s">
        <v>767</v>
      </c>
      <c r="C96" s="5" t="s">
        <v>768</v>
      </c>
      <c r="D96" s="5" t="s">
        <v>769</v>
      </c>
      <c r="E96" s="5" t="s">
        <v>369</v>
      </c>
      <c r="F96" s="5" t="s">
        <v>396</v>
      </c>
      <c r="G96" s="5" t="s">
        <v>413</v>
      </c>
      <c r="H96" s="5" t="s">
        <v>94</v>
      </c>
      <c r="I96" s="5" t="s">
        <v>537</v>
      </c>
      <c r="J96" s="5" t="s">
        <v>770</v>
      </c>
      <c r="K96" s="5" t="s">
        <v>84</v>
      </c>
    </row>
    <row r="97" customFormat="false" ht="28.35" hidden="false" customHeight="false" outlineLevel="0" collapsed="false">
      <c r="A97" s="5" t="s">
        <v>771</v>
      </c>
      <c r="B97" s="5" t="s">
        <v>767</v>
      </c>
      <c r="C97" s="5" t="s">
        <v>772</v>
      </c>
      <c r="D97" s="5" t="s">
        <v>773</v>
      </c>
      <c r="E97" s="5" t="s">
        <v>369</v>
      </c>
      <c r="F97" s="5" t="s">
        <v>774</v>
      </c>
      <c r="G97" s="5" t="s">
        <v>413</v>
      </c>
      <c r="H97" s="5" t="s">
        <v>94</v>
      </c>
      <c r="I97" s="5" t="s">
        <v>537</v>
      </c>
      <c r="J97" s="5" t="s">
        <v>770</v>
      </c>
      <c r="K97" s="5" t="s">
        <v>84</v>
      </c>
    </row>
    <row r="98" customFormat="false" ht="15" hidden="false" customHeight="false" outlineLevel="0" collapsed="false">
      <c r="A98" s="5" t="s">
        <v>775</v>
      </c>
      <c r="B98" s="5" t="s">
        <v>767</v>
      </c>
      <c r="C98" s="5" t="s">
        <v>776</v>
      </c>
      <c r="D98" s="5" t="s">
        <v>777</v>
      </c>
      <c r="E98" s="5" t="s">
        <v>369</v>
      </c>
      <c r="F98" s="5" t="s">
        <v>774</v>
      </c>
      <c r="G98" s="5" t="s">
        <v>371</v>
      </c>
      <c r="H98" s="5" t="s">
        <v>385</v>
      </c>
      <c r="I98" s="6" t="s">
        <v>373</v>
      </c>
      <c r="J98" s="5"/>
      <c r="K98" s="5"/>
    </row>
    <row r="99" customFormat="false" ht="15" hidden="false" customHeight="false" outlineLevel="0" collapsed="false">
      <c r="A99" s="5" t="s">
        <v>778</v>
      </c>
      <c r="B99" s="5" t="s">
        <v>767</v>
      </c>
      <c r="C99" s="5" t="s">
        <v>779</v>
      </c>
      <c r="D99" s="5" t="s">
        <v>780</v>
      </c>
      <c r="E99" s="5" t="s">
        <v>369</v>
      </c>
      <c r="F99" s="5" t="s">
        <v>774</v>
      </c>
      <c r="G99" s="5" t="s">
        <v>371</v>
      </c>
      <c r="H99" s="5" t="s">
        <v>385</v>
      </c>
      <c r="I99" s="7" t="s">
        <v>386</v>
      </c>
      <c r="J99" s="5" t="s">
        <v>350</v>
      </c>
      <c r="K99" s="5"/>
    </row>
    <row r="100" customFormat="false" ht="28.35" hidden="false" customHeight="false" outlineLevel="0" collapsed="false">
      <c r="A100" s="5" t="s">
        <v>781</v>
      </c>
      <c r="B100" s="5" t="s">
        <v>767</v>
      </c>
      <c r="C100" s="5" t="s">
        <v>782</v>
      </c>
      <c r="D100" s="5" t="s">
        <v>783</v>
      </c>
      <c r="E100" s="5" t="s">
        <v>407</v>
      </c>
      <c r="F100" s="5" t="s">
        <v>784</v>
      </c>
      <c r="G100" s="5" t="s">
        <v>379</v>
      </c>
      <c r="H100" s="5" t="s">
        <v>785</v>
      </c>
      <c r="I100" s="8" t="s">
        <v>402</v>
      </c>
      <c r="J100" s="5" t="s">
        <v>786</v>
      </c>
      <c r="K100" s="5" t="s">
        <v>267</v>
      </c>
    </row>
    <row r="101" customFormat="false" ht="15" hidden="false" customHeight="false" outlineLevel="0" collapsed="false">
      <c r="A101" s="5" t="s">
        <v>787</v>
      </c>
      <c r="B101" s="5" t="s">
        <v>767</v>
      </c>
      <c r="C101" s="5" t="s">
        <v>788</v>
      </c>
      <c r="D101" s="5" t="s">
        <v>789</v>
      </c>
      <c r="E101" s="5" t="s">
        <v>369</v>
      </c>
      <c r="F101" s="5" t="s">
        <v>774</v>
      </c>
      <c r="G101" s="5" t="s">
        <v>379</v>
      </c>
      <c r="H101" s="5" t="s">
        <v>385</v>
      </c>
      <c r="I101" s="6" t="s">
        <v>373</v>
      </c>
      <c r="J101" s="5" t="s">
        <v>790</v>
      </c>
      <c r="K101" s="5" t="s">
        <v>76</v>
      </c>
    </row>
    <row r="102" customFormat="false" ht="15" hidden="false" customHeight="false" outlineLevel="0" collapsed="false">
      <c r="A102" s="5" t="s">
        <v>791</v>
      </c>
      <c r="B102" s="5" t="s">
        <v>767</v>
      </c>
      <c r="C102" s="5" t="s">
        <v>792</v>
      </c>
      <c r="D102" s="5" t="s">
        <v>793</v>
      </c>
      <c r="E102" s="5" t="s">
        <v>369</v>
      </c>
      <c r="F102" s="5" t="s">
        <v>774</v>
      </c>
      <c r="G102" s="5" t="s">
        <v>371</v>
      </c>
      <c r="H102" s="5" t="s">
        <v>385</v>
      </c>
      <c r="I102" s="6" t="s">
        <v>373</v>
      </c>
      <c r="J102" s="5"/>
      <c r="K102" s="5"/>
    </row>
    <row r="103" customFormat="false" ht="15" hidden="false" customHeight="false" outlineLevel="0" collapsed="false">
      <c r="A103" s="5" t="s">
        <v>794</v>
      </c>
      <c r="B103" s="5" t="s">
        <v>767</v>
      </c>
      <c r="C103" s="5" t="s">
        <v>795</v>
      </c>
      <c r="D103" s="5" t="s">
        <v>796</v>
      </c>
      <c r="E103" s="5" t="s">
        <v>400</v>
      </c>
      <c r="F103" s="5" t="s">
        <v>396</v>
      </c>
      <c r="G103" s="5" t="s">
        <v>379</v>
      </c>
      <c r="H103" s="5" t="s">
        <v>385</v>
      </c>
      <c r="I103" s="8" t="s">
        <v>402</v>
      </c>
      <c r="J103" s="5"/>
      <c r="K103" s="5"/>
    </row>
    <row r="104" customFormat="false" ht="15" hidden="false" customHeight="false" outlineLevel="0" collapsed="false">
      <c r="A104" s="5" t="s">
        <v>797</v>
      </c>
      <c r="B104" s="5" t="s">
        <v>767</v>
      </c>
      <c r="C104" s="5" t="s">
        <v>798</v>
      </c>
      <c r="D104" s="5" t="s">
        <v>799</v>
      </c>
      <c r="E104" s="5" t="s">
        <v>400</v>
      </c>
      <c r="F104" s="5" t="s">
        <v>520</v>
      </c>
      <c r="G104" s="5" t="s">
        <v>379</v>
      </c>
      <c r="H104" s="5" t="s">
        <v>800</v>
      </c>
      <c r="I104" s="6" t="s">
        <v>373</v>
      </c>
      <c r="J104" s="5" t="s">
        <v>801</v>
      </c>
      <c r="K104" s="5" t="s">
        <v>260</v>
      </c>
    </row>
    <row r="105" customFormat="false" ht="15" hidden="false" customHeight="false" outlineLevel="0" collapsed="false">
      <c r="A105" s="5" t="s">
        <v>343</v>
      </c>
      <c r="B105" s="5" t="s">
        <v>767</v>
      </c>
      <c r="C105" s="5" t="s">
        <v>802</v>
      </c>
      <c r="D105" s="5" t="s">
        <v>803</v>
      </c>
      <c r="E105" s="5" t="s">
        <v>369</v>
      </c>
      <c r="F105" s="5" t="s">
        <v>451</v>
      </c>
      <c r="G105" s="5" t="s">
        <v>379</v>
      </c>
      <c r="H105" s="5" t="s">
        <v>385</v>
      </c>
      <c r="I105" s="7" t="s">
        <v>386</v>
      </c>
      <c r="J105" s="5" t="s">
        <v>340</v>
      </c>
      <c r="K105" s="5"/>
    </row>
    <row r="106" customFormat="false" ht="28.35" hidden="false" customHeight="false" outlineLevel="0" collapsed="false">
      <c r="A106" s="5" t="s">
        <v>804</v>
      </c>
      <c r="B106" s="5" t="s">
        <v>767</v>
      </c>
      <c r="C106" s="5" t="s">
        <v>805</v>
      </c>
      <c r="D106" s="5" t="s">
        <v>806</v>
      </c>
      <c r="E106" s="5" t="s">
        <v>400</v>
      </c>
      <c r="F106" s="5" t="s">
        <v>620</v>
      </c>
      <c r="G106" s="5" t="s">
        <v>379</v>
      </c>
      <c r="H106" s="5" t="s">
        <v>408</v>
      </c>
      <c r="I106" s="9" t="s">
        <v>414</v>
      </c>
      <c r="J106" s="5" t="s">
        <v>807</v>
      </c>
      <c r="K106" s="5"/>
    </row>
    <row r="107" customFormat="false" ht="28.35" hidden="false" customHeight="false" outlineLevel="0" collapsed="false">
      <c r="A107" s="5" t="s">
        <v>808</v>
      </c>
      <c r="B107" s="5" t="s">
        <v>809</v>
      </c>
      <c r="C107" s="5" t="s">
        <v>810</v>
      </c>
      <c r="D107" s="5" t="s">
        <v>811</v>
      </c>
      <c r="E107" s="5" t="s">
        <v>369</v>
      </c>
      <c r="F107" s="5" t="s">
        <v>812</v>
      </c>
      <c r="G107" s="5" t="s">
        <v>371</v>
      </c>
      <c r="H107" s="5" t="s">
        <v>813</v>
      </c>
      <c r="I107" s="6" t="s">
        <v>373</v>
      </c>
      <c r="J107" s="5"/>
      <c r="K107" s="5" t="s">
        <v>135</v>
      </c>
    </row>
    <row r="108" customFormat="false" ht="28.35" hidden="false" customHeight="false" outlineLevel="0" collapsed="false">
      <c r="A108" s="5" t="s">
        <v>814</v>
      </c>
      <c r="B108" s="5" t="s">
        <v>809</v>
      </c>
      <c r="C108" s="5" t="s">
        <v>815</v>
      </c>
      <c r="D108" s="5" t="s">
        <v>816</v>
      </c>
      <c r="E108" s="5" t="s">
        <v>369</v>
      </c>
      <c r="F108" s="5" t="s">
        <v>817</v>
      </c>
      <c r="G108" s="5" t="s">
        <v>379</v>
      </c>
      <c r="H108" s="5" t="s">
        <v>813</v>
      </c>
      <c r="I108" s="6" t="s">
        <v>373</v>
      </c>
      <c r="J108" s="5"/>
      <c r="K108" s="5"/>
    </row>
    <row r="109" customFormat="false" ht="28.35" hidden="false" customHeight="false" outlineLevel="0" collapsed="false">
      <c r="A109" s="5" t="s">
        <v>818</v>
      </c>
      <c r="B109" s="5" t="s">
        <v>809</v>
      </c>
      <c r="C109" s="5" t="s">
        <v>819</v>
      </c>
      <c r="D109" s="5" t="s">
        <v>820</v>
      </c>
      <c r="E109" s="5" t="s">
        <v>369</v>
      </c>
      <c r="F109" s="5" t="s">
        <v>821</v>
      </c>
      <c r="G109" s="5" t="s">
        <v>379</v>
      </c>
      <c r="H109" s="5" t="s">
        <v>813</v>
      </c>
      <c r="I109" s="6" t="s">
        <v>373</v>
      </c>
      <c r="J109" s="5" t="s">
        <v>345</v>
      </c>
      <c r="K109" s="5"/>
    </row>
    <row r="110" customFormat="false" ht="15" hidden="false" customHeight="false" outlineLevel="0" collapsed="false">
      <c r="A110" s="5" t="s">
        <v>822</v>
      </c>
      <c r="B110" s="5" t="s">
        <v>823</v>
      </c>
      <c r="C110" s="5" t="s">
        <v>824</v>
      </c>
      <c r="D110" s="5" t="s">
        <v>825</v>
      </c>
      <c r="E110" s="5" t="s">
        <v>369</v>
      </c>
      <c r="F110" s="5" t="s">
        <v>370</v>
      </c>
      <c r="G110" s="5" t="s">
        <v>413</v>
      </c>
      <c r="H110" s="5" t="s">
        <v>826</v>
      </c>
      <c r="I110" s="5" t="s">
        <v>827</v>
      </c>
      <c r="J110" s="5" t="s">
        <v>828</v>
      </c>
      <c r="K110" s="5" t="s">
        <v>48</v>
      </c>
    </row>
    <row r="111" customFormat="false" ht="28.35" hidden="false" customHeight="false" outlineLevel="0" collapsed="false">
      <c r="A111" s="5" t="s">
        <v>829</v>
      </c>
      <c r="B111" s="5" t="s">
        <v>823</v>
      </c>
      <c r="C111" s="5" t="s">
        <v>830</v>
      </c>
      <c r="D111" s="5" t="s">
        <v>831</v>
      </c>
      <c r="E111" s="5" t="s">
        <v>369</v>
      </c>
      <c r="F111" s="5" t="s">
        <v>832</v>
      </c>
      <c r="G111" s="5" t="s">
        <v>413</v>
      </c>
      <c r="H111" s="5" t="s">
        <v>826</v>
      </c>
      <c r="I111" s="5" t="s">
        <v>827</v>
      </c>
      <c r="J111" s="5" t="s">
        <v>833</v>
      </c>
      <c r="K111" s="5" t="s">
        <v>62</v>
      </c>
    </row>
    <row r="112" customFormat="false" ht="28.35" hidden="false" customHeight="false" outlineLevel="0" collapsed="false">
      <c r="A112" s="5" t="s">
        <v>834</v>
      </c>
      <c r="B112" s="5" t="s">
        <v>32</v>
      </c>
      <c r="C112" s="5" t="s">
        <v>32</v>
      </c>
      <c r="D112" s="5" t="s">
        <v>835</v>
      </c>
      <c r="E112" s="5" t="s">
        <v>629</v>
      </c>
      <c r="F112" s="5" t="s">
        <v>836</v>
      </c>
      <c r="G112" s="5" t="s">
        <v>413</v>
      </c>
      <c r="H112" s="5" t="s">
        <v>826</v>
      </c>
      <c r="I112" s="5" t="s">
        <v>827</v>
      </c>
      <c r="J112" s="5" t="s">
        <v>837</v>
      </c>
      <c r="K112" s="5" t="s">
        <v>31</v>
      </c>
    </row>
    <row r="113" customFormat="false" ht="41.75" hidden="false" customHeight="false" outlineLevel="0" collapsed="false">
      <c r="A113" s="5" t="s">
        <v>838</v>
      </c>
      <c r="B113" s="5" t="s">
        <v>428</v>
      </c>
      <c r="C113" s="5" t="s">
        <v>839</v>
      </c>
      <c r="D113" s="5" t="s">
        <v>840</v>
      </c>
      <c r="E113" s="5" t="s">
        <v>841</v>
      </c>
      <c r="F113" s="5" t="s">
        <v>842</v>
      </c>
      <c r="G113" s="5" t="s">
        <v>843</v>
      </c>
      <c r="H113" s="5" t="s">
        <v>439</v>
      </c>
      <c r="I113" s="6" t="s">
        <v>600</v>
      </c>
      <c r="J113" s="5" t="s">
        <v>844</v>
      </c>
      <c r="K113" s="5" t="s">
        <v>253</v>
      </c>
    </row>
    <row r="114" customFormat="false" ht="28.35" hidden="false" customHeight="false" outlineLevel="0" collapsed="false">
      <c r="A114" s="5" t="s">
        <v>845</v>
      </c>
      <c r="B114" s="5" t="s">
        <v>767</v>
      </c>
      <c r="C114" s="5" t="s">
        <v>846</v>
      </c>
      <c r="D114" s="5" t="s">
        <v>847</v>
      </c>
      <c r="E114" s="5" t="s">
        <v>841</v>
      </c>
      <c r="F114" s="5" t="s">
        <v>842</v>
      </c>
      <c r="G114" s="5" t="s">
        <v>843</v>
      </c>
      <c r="H114" s="5" t="s">
        <v>800</v>
      </c>
      <c r="I114" s="6" t="s">
        <v>373</v>
      </c>
      <c r="J114" s="5" t="s">
        <v>261</v>
      </c>
      <c r="K114" s="5" t="s">
        <v>260</v>
      </c>
    </row>
    <row r="115" customFormat="false" ht="28.35" hidden="false" customHeight="false" outlineLevel="0" collapsed="false">
      <c r="A115" s="5" t="s">
        <v>848</v>
      </c>
      <c r="B115" s="5" t="s">
        <v>488</v>
      </c>
      <c r="C115" s="5" t="s">
        <v>849</v>
      </c>
      <c r="D115" s="5" t="s">
        <v>850</v>
      </c>
      <c r="E115" s="5" t="s">
        <v>841</v>
      </c>
      <c r="F115" s="5" t="s">
        <v>842</v>
      </c>
      <c r="G115" s="5" t="s">
        <v>843</v>
      </c>
      <c r="H115" s="5" t="s">
        <v>385</v>
      </c>
      <c r="I115" s="6" t="s">
        <v>373</v>
      </c>
      <c r="J115" s="5" t="s">
        <v>851</v>
      </c>
      <c r="K115" s="5"/>
    </row>
    <row r="116" customFormat="false" ht="28.35" hidden="false" customHeight="false" outlineLevel="0" collapsed="false">
      <c r="A116" s="5" t="s">
        <v>852</v>
      </c>
      <c r="B116" s="5" t="s">
        <v>555</v>
      </c>
      <c r="C116" s="5" t="s">
        <v>853</v>
      </c>
      <c r="D116" s="5" t="s">
        <v>854</v>
      </c>
      <c r="E116" s="5" t="s">
        <v>841</v>
      </c>
      <c r="F116" s="5" t="s">
        <v>842</v>
      </c>
      <c r="G116" s="5" t="s">
        <v>843</v>
      </c>
      <c r="H116" s="5" t="s">
        <v>385</v>
      </c>
      <c r="I116" s="6" t="s">
        <v>373</v>
      </c>
      <c r="J116" s="5" t="s">
        <v>855</v>
      </c>
      <c r="K116" s="5"/>
    </row>
    <row r="117" customFormat="false" ht="28.35" hidden="false" customHeight="false" outlineLevel="0" collapsed="false">
      <c r="A117" s="5" t="s">
        <v>856</v>
      </c>
      <c r="B117" s="5" t="s">
        <v>672</v>
      </c>
      <c r="C117" s="5" t="s">
        <v>857</v>
      </c>
      <c r="D117" s="5" t="s">
        <v>858</v>
      </c>
      <c r="E117" s="5" t="s">
        <v>841</v>
      </c>
      <c r="F117" s="5" t="s">
        <v>842</v>
      </c>
      <c r="G117" s="5" t="s">
        <v>843</v>
      </c>
      <c r="H117" s="5" t="s">
        <v>385</v>
      </c>
      <c r="I117" s="6" t="s">
        <v>373</v>
      </c>
      <c r="J117" s="5" t="s">
        <v>859</v>
      </c>
      <c r="K117" s="5"/>
    </row>
    <row r="118" customFormat="false" ht="41.75" hidden="false" customHeight="false" outlineLevel="0" collapsed="false">
      <c r="A118" s="5" t="s">
        <v>860</v>
      </c>
      <c r="B118" s="5" t="s">
        <v>82</v>
      </c>
      <c r="C118" s="5" t="s">
        <v>861</v>
      </c>
      <c r="D118" s="5" t="s">
        <v>862</v>
      </c>
      <c r="E118" s="5" t="s">
        <v>841</v>
      </c>
      <c r="F118" s="5" t="s">
        <v>842</v>
      </c>
      <c r="G118" s="5" t="s">
        <v>843</v>
      </c>
      <c r="H118" s="5" t="s">
        <v>863</v>
      </c>
      <c r="I118" s="6" t="s">
        <v>600</v>
      </c>
      <c r="J118" s="5" t="s">
        <v>864</v>
      </c>
      <c r="K118" s="5" t="s">
        <v>56</v>
      </c>
    </row>
    <row r="119" customFormat="false" ht="28.35" hidden="false" customHeight="false" outlineLevel="0" collapsed="false">
      <c r="A119" s="5" t="s">
        <v>865</v>
      </c>
      <c r="B119" s="5" t="s">
        <v>428</v>
      </c>
      <c r="C119" s="5" t="s">
        <v>866</v>
      </c>
      <c r="D119" s="5" t="s">
        <v>867</v>
      </c>
      <c r="E119" s="5" t="s">
        <v>841</v>
      </c>
      <c r="F119" s="5" t="s">
        <v>842</v>
      </c>
      <c r="G119" s="5" t="s">
        <v>843</v>
      </c>
      <c r="H119" s="5" t="s">
        <v>385</v>
      </c>
      <c r="I119" s="6" t="s">
        <v>373</v>
      </c>
      <c r="J119" s="5" t="s">
        <v>868</v>
      </c>
      <c r="K119" s="5"/>
    </row>
    <row r="120" customFormat="false" ht="28.35" hidden="false" customHeight="false" outlineLevel="0" collapsed="false">
      <c r="A120" s="5" t="s">
        <v>869</v>
      </c>
      <c r="B120" s="5" t="s">
        <v>55</v>
      </c>
      <c r="C120" s="5" t="s">
        <v>870</v>
      </c>
      <c r="D120" s="5" t="s">
        <v>871</v>
      </c>
      <c r="E120" s="5" t="s">
        <v>841</v>
      </c>
      <c r="F120" s="5" t="s">
        <v>842</v>
      </c>
      <c r="G120" s="5" t="s">
        <v>843</v>
      </c>
      <c r="H120" s="5" t="s">
        <v>385</v>
      </c>
      <c r="I120" s="6" t="s">
        <v>373</v>
      </c>
      <c r="J120" s="5" t="s">
        <v>163</v>
      </c>
      <c r="K120" s="5" t="s">
        <v>163</v>
      </c>
    </row>
    <row r="122" customFormat="false" ht="15" hidden="false" customHeight="false" outlineLevel="0" collapsed="false">
      <c r="A122" s="3" t="s">
        <v>872</v>
      </c>
    </row>
    <row r="123" customFormat="false" ht="15" hidden="false" customHeight="false" outlineLevel="0" collapsed="false">
      <c r="A123" s="0" t="s">
        <v>386</v>
      </c>
      <c r="B123" s="0" t="n">
        <f aca="false">COUNTIF($I$2:$I$120,"K.o.")</f>
        <v>14</v>
      </c>
    </row>
    <row r="124" customFormat="false" ht="15" hidden="false" customHeight="false" outlineLevel="0" collapsed="false">
      <c r="A124" s="0" t="s">
        <v>873</v>
      </c>
      <c r="B124" s="0" t="n">
        <f aca="false">COUNTIF($I$2:$I$120,"Muss*")</f>
        <v>61</v>
      </c>
    </row>
    <row r="125" customFormat="false" ht="15" hidden="false" customHeight="false" outlineLevel="0" collapsed="false">
      <c r="A125" s="0" t="s">
        <v>402</v>
      </c>
      <c r="B125" s="0" t="n">
        <f aca="false">COUNTIF($I$2:$I$120,"Kann")</f>
        <v>27</v>
      </c>
    </row>
    <row r="126" customFormat="false" ht="15" hidden="false" customHeight="false" outlineLevel="0" collapsed="false">
      <c r="A126" s="0" t="s">
        <v>874</v>
      </c>
      <c r="B126" s="0" t="n">
        <f aca="false">COUNTIF($I$2:$I$120,"Phase 2*")</f>
        <v>5</v>
      </c>
    </row>
    <row r="127" customFormat="false" ht="15" hidden="false" customHeight="false" outlineLevel="0" collapsed="false">
      <c r="A127" s="0" t="s">
        <v>414</v>
      </c>
      <c r="B127" s="0" t="n">
        <f aca="false">COUNTIF($I$2:$I$120,"gestrichen")</f>
        <v>6</v>
      </c>
    </row>
    <row r="128" customFormat="false" ht="15" hidden="false" customHeight="false" outlineLevel="0" collapsed="false">
      <c r="A128" s="0" t="s">
        <v>537</v>
      </c>
      <c r="B128" s="0" t="n">
        <f aca="false">COUNTIF($I$2:$I$120,"Bewertungskriterium")</f>
        <v>3</v>
      </c>
    </row>
    <row r="129" customFormat="false" ht="15" hidden="false" customHeight="false" outlineLevel="0" collapsed="false">
      <c r="A129" s="0" t="s">
        <v>827</v>
      </c>
      <c r="B129" s="0" t="n">
        <f aca="false">COUNTIF($I$2:$I$120,"GF-Entscheidung")</f>
        <v>3</v>
      </c>
    </row>
  </sheetData>
  <autoFilter ref="A1:K1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55"/>
    <col collapsed="false" customWidth="true" hidden="false" outlineLevel="0" max="5" min="5" style="0" width="9"/>
  </cols>
  <sheetData>
    <row r="1" customFormat="false" ht="15" hidden="false" customHeight="false" outlineLevel="0" collapsed="false">
      <c r="A1" s="4" t="s">
        <v>875</v>
      </c>
      <c r="B1" s="4" t="s">
        <v>876</v>
      </c>
      <c r="C1" s="4" t="s">
        <v>877</v>
      </c>
      <c r="D1" s="4" t="s">
        <v>878</v>
      </c>
      <c r="E1" s="4" t="s">
        <v>879</v>
      </c>
    </row>
    <row r="2" customFormat="false" ht="28.35" hidden="false" customHeight="false" outlineLevel="0" collapsed="false">
      <c r="A2" s="5" t="s">
        <v>880</v>
      </c>
      <c r="B2" s="5" t="s">
        <v>881</v>
      </c>
      <c r="C2" s="5" t="s">
        <v>882</v>
      </c>
      <c r="D2" s="5" t="s">
        <v>883</v>
      </c>
      <c r="E2" s="5" t="s">
        <v>76</v>
      </c>
    </row>
    <row r="3" customFormat="false" ht="15" hidden="false" customHeight="false" outlineLevel="0" collapsed="false">
      <c r="A3" s="5" t="s">
        <v>884</v>
      </c>
      <c r="B3" s="5" t="s">
        <v>885</v>
      </c>
      <c r="C3" s="5" t="s">
        <v>886</v>
      </c>
      <c r="D3" s="5" t="s">
        <v>887</v>
      </c>
      <c r="E3" s="5"/>
    </row>
    <row r="4" customFormat="false" ht="15" hidden="false" customHeight="false" outlineLevel="0" collapsed="false">
      <c r="A4" s="5" t="s">
        <v>888</v>
      </c>
      <c r="B4" s="5" t="s">
        <v>889</v>
      </c>
      <c r="C4" s="5" t="s">
        <v>890</v>
      </c>
      <c r="D4" s="5" t="s">
        <v>891</v>
      </c>
      <c r="E4" s="5" t="s">
        <v>76</v>
      </c>
    </row>
    <row r="5" customFormat="false" ht="15" hidden="false" customHeight="false" outlineLevel="0" collapsed="false">
      <c r="A5" s="5" t="s">
        <v>892</v>
      </c>
      <c r="B5" s="5" t="s">
        <v>893</v>
      </c>
      <c r="C5" s="5" t="s">
        <v>894</v>
      </c>
      <c r="D5" s="5" t="s">
        <v>895</v>
      </c>
      <c r="E5" s="5" t="s">
        <v>76</v>
      </c>
    </row>
    <row r="6" customFormat="false" ht="15" hidden="false" customHeight="false" outlineLevel="0" collapsed="false">
      <c r="A6" s="5" t="s">
        <v>896</v>
      </c>
      <c r="B6" s="5" t="s">
        <v>897</v>
      </c>
      <c r="C6" s="5" t="s">
        <v>898</v>
      </c>
      <c r="D6" s="5" t="s">
        <v>899</v>
      </c>
      <c r="E6" s="5"/>
    </row>
    <row r="7" customFormat="false" ht="15" hidden="false" customHeight="false" outlineLevel="0" collapsed="false">
      <c r="A7" s="5" t="s">
        <v>900</v>
      </c>
      <c r="B7" s="5" t="s">
        <v>901</v>
      </c>
      <c r="C7" s="5" t="s">
        <v>902</v>
      </c>
      <c r="D7" s="5" t="s">
        <v>903</v>
      </c>
      <c r="E7" s="5" t="s">
        <v>155</v>
      </c>
    </row>
    <row r="8" customFormat="false" ht="15" hidden="false" customHeight="false" outlineLevel="0" collapsed="false">
      <c r="A8" s="5" t="s">
        <v>904</v>
      </c>
      <c r="B8" s="5" t="s">
        <v>905</v>
      </c>
      <c r="C8" s="5" t="s">
        <v>906</v>
      </c>
      <c r="D8" s="5" t="s">
        <v>907</v>
      </c>
      <c r="E8" s="5" t="s">
        <v>195</v>
      </c>
    </row>
    <row r="9" customFormat="false" ht="28.35" hidden="false" customHeight="false" outlineLevel="0" collapsed="false">
      <c r="A9" s="5" t="s">
        <v>908</v>
      </c>
      <c r="B9" s="5" t="s">
        <v>909</v>
      </c>
      <c r="C9" s="5" t="s">
        <v>910</v>
      </c>
      <c r="D9" s="5" t="s">
        <v>911</v>
      </c>
      <c r="E9" s="5"/>
    </row>
    <row r="10" customFormat="false" ht="15" hidden="false" customHeight="false" outlineLevel="0" collapsed="false">
      <c r="A10" s="5" t="s">
        <v>912</v>
      </c>
      <c r="B10" s="5" t="s">
        <v>913</v>
      </c>
      <c r="C10" s="5" t="s">
        <v>914</v>
      </c>
      <c r="D10" s="5" t="s">
        <v>915</v>
      </c>
      <c r="E10" s="5" t="s">
        <v>177</v>
      </c>
    </row>
    <row r="11" customFormat="false" ht="15" hidden="false" customHeight="false" outlineLevel="0" collapsed="false">
      <c r="A11" s="5" t="s">
        <v>184</v>
      </c>
      <c r="B11" s="5" t="s">
        <v>916</v>
      </c>
      <c r="C11" s="5" t="s">
        <v>917</v>
      </c>
      <c r="D11" s="5" t="s">
        <v>918</v>
      </c>
      <c r="E11" s="5" t="s">
        <v>183</v>
      </c>
    </row>
    <row r="12" customFormat="false" ht="15" hidden="false" customHeight="false" outlineLevel="0" collapsed="false">
      <c r="A12" s="5" t="s">
        <v>919</v>
      </c>
      <c r="B12" s="5" t="s">
        <v>920</v>
      </c>
      <c r="C12" s="5" t="s">
        <v>920</v>
      </c>
      <c r="D12" s="5"/>
      <c r="E12" s="5"/>
    </row>
    <row r="13" customFormat="false" ht="15" hidden="false" customHeight="false" outlineLevel="0" collapsed="false">
      <c r="A13" s="5" t="s">
        <v>190</v>
      </c>
      <c r="B13" s="5" t="s">
        <v>921</v>
      </c>
      <c r="C13" s="5" t="s">
        <v>922</v>
      </c>
      <c r="D13" s="5" t="s">
        <v>193</v>
      </c>
      <c r="E13" s="5" t="s">
        <v>189</v>
      </c>
    </row>
    <row r="14" customFormat="false" ht="15" hidden="false" customHeight="false" outlineLevel="0" collapsed="false">
      <c r="A14" s="5" t="s">
        <v>923</v>
      </c>
      <c r="B14" s="5" t="s">
        <v>924</v>
      </c>
      <c r="C14" s="5" t="s">
        <v>925</v>
      </c>
      <c r="D14" s="5" t="s">
        <v>926</v>
      </c>
      <c r="E14" s="5" t="s">
        <v>201</v>
      </c>
    </row>
    <row r="15" customFormat="false" ht="28.35" hidden="false" customHeight="false" outlineLevel="0" collapsed="false">
      <c r="A15" s="5" t="s">
        <v>927</v>
      </c>
      <c r="B15" s="5" t="s">
        <v>928</v>
      </c>
      <c r="C15" s="5" t="s">
        <v>929</v>
      </c>
      <c r="D15" s="5" t="s">
        <v>930</v>
      </c>
      <c r="E15" s="5"/>
    </row>
    <row r="16" customFormat="false" ht="15" hidden="false" customHeight="false" outlineLevel="0" collapsed="false">
      <c r="A16" s="5" t="s">
        <v>931</v>
      </c>
      <c r="B16" s="5" t="s">
        <v>932</v>
      </c>
      <c r="C16" s="5" t="s">
        <v>932</v>
      </c>
      <c r="D16" s="5"/>
      <c r="E16" s="5"/>
    </row>
    <row r="17" customFormat="false" ht="15" hidden="false" customHeight="false" outlineLevel="0" collapsed="false">
      <c r="A17" s="5" t="s">
        <v>933</v>
      </c>
      <c r="B17" s="5" t="s">
        <v>934</v>
      </c>
      <c r="C17" s="5" t="s">
        <v>935</v>
      </c>
      <c r="D17" s="5" t="s">
        <v>936</v>
      </c>
      <c r="E17" s="5" t="s">
        <v>163</v>
      </c>
    </row>
  </sheetData>
  <autoFilter ref="A1:E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26"/>
    <col collapsed="false" customWidth="true" hidden="false" outlineLevel="0" max="7" min="6" style="0" width="30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50"/>
    <col collapsed="false" customWidth="true" hidden="false" outlineLevel="0" max="11" min="11" style="0" width="34"/>
    <col collapsed="false" customWidth="true" hidden="false" outlineLevel="0" max="12" min="12" style="0" width="24"/>
  </cols>
  <sheetData>
    <row r="1" customFormat="false" ht="28.35" hidden="false" customHeight="false" outlineLevel="0" collapsed="false">
      <c r="A1" s="4" t="s">
        <v>937</v>
      </c>
      <c r="B1" s="4" t="s">
        <v>938</v>
      </c>
      <c r="C1" s="4" t="s">
        <v>939</v>
      </c>
      <c r="D1" s="4" t="s">
        <v>940</v>
      </c>
      <c r="E1" s="4" t="s">
        <v>941</v>
      </c>
      <c r="F1" s="4" t="s">
        <v>942</v>
      </c>
      <c r="G1" s="4" t="s">
        <v>943</v>
      </c>
      <c r="H1" s="4" t="s">
        <v>944</v>
      </c>
      <c r="I1" s="4" t="s">
        <v>945</v>
      </c>
      <c r="J1" s="4" t="s">
        <v>878</v>
      </c>
      <c r="K1" s="4" t="s">
        <v>359</v>
      </c>
      <c r="L1" s="4" t="s">
        <v>946</v>
      </c>
    </row>
    <row r="2" customFormat="false" ht="41.75" hidden="false" customHeight="false" outlineLevel="0" collapsed="false">
      <c r="A2" s="5" t="n">
        <v>1</v>
      </c>
      <c r="B2" s="5" t="s">
        <v>947</v>
      </c>
      <c r="C2" s="5" t="s">
        <v>948</v>
      </c>
      <c r="D2" s="5" t="s">
        <v>949</v>
      </c>
      <c r="E2" s="5" t="s">
        <v>950</v>
      </c>
      <c r="F2" s="5" t="s">
        <v>951</v>
      </c>
      <c r="G2" s="5" t="s">
        <v>952</v>
      </c>
      <c r="H2" s="5" t="s">
        <v>953</v>
      </c>
      <c r="I2" s="11" t="s">
        <v>954</v>
      </c>
      <c r="J2" s="5" t="s">
        <v>955</v>
      </c>
      <c r="K2" s="5" t="s">
        <v>956</v>
      </c>
      <c r="L2" s="5" t="s">
        <v>957</v>
      </c>
    </row>
    <row r="3" customFormat="false" ht="55.2" hidden="false" customHeight="false" outlineLevel="0" collapsed="false">
      <c r="A3" s="5" t="n">
        <v>2</v>
      </c>
      <c r="B3" s="5" t="s">
        <v>958</v>
      </c>
      <c r="C3" s="5" t="s">
        <v>959</v>
      </c>
      <c r="D3" s="5" t="s">
        <v>960</v>
      </c>
      <c r="E3" s="5" t="s">
        <v>961</v>
      </c>
      <c r="F3" s="5" t="s">
        <v>962</v>
      </c>
      <c r="G3" s="5" t="s">
        <v>963</v>
      </c>
      <c r="H3" s="5" t="s">
        <v>39</v>
      </c>
      <c r="I3" s="11" t="s">
        <v>954</v>
      </c>
      <c r="J3" s="5" t="s">
        <v>964</v>
      </c>
      <c r="K3" s="5" t="s">
        <v>965</v>
      </c>
      <c r="L3" s="5" t="s">
        <v>966</v>
      </c>
    </row>
    <row r="4" customFormat="false" ht="55.2" hidden="false" customHeight="false" outlineLevel="0" collapsed="false">
      <c r="A4" s="5" t="n">
        <v>3</v>
      </c>
      <c r="B4" s="5" t="s">
        <v>967</v>
      </c>
      <c r="C4" s="5" t="s">
        <v>968</v>
      </c>
      <c r="D4" s="5" t="s">
        <v>969</v>
      </c>
      <c r="E4" s="5" t="s">
        <v>970</v>
      </c>
      <c r="F4" s="5" t="s">
        <v>971</v>
      </c>
      <c r="G4" s="5" t="s">
        <v>972</v>
      </c>
      <c r="H4" s="5" t="s">
        <v>83</v>
      </c>
      <c r="I4" s="11" t="s">
        <v>954</v>
      </c>
      <c r="J4" s="5" t="s">
        <v>973</v>
      </c>
      <c r="K4" s="5" t="s">
        <v>974</v>
      </c>
      <c r="L4" s="5" t="s">
        <v>975</v>
      </c>
    </row>
    <row r="5" customFormat="false" ht="68.65" hidden="false" customHeight="false" outlineLevel="0" collapsed="false">
      <c r="A5" s="5" t="n">
        <v>4</v>
      </c>
      <c r="B5" s="5" t="s">
        <v>976</v>
      </c>
      <c r="C5" s="5" t="s">
        <v>977</v>
      </c>
      <c r="D5" s="5" t="s">
        <v>978</v>
      </c>
      <c r="E5" s="5" t="s">
        <v>979</v>
      </c>
      <c r="F5" s="5" t="s">
        <v>980</v>
      </c>
      <c r="G5" s="5" t="s">
        <v>981</v>
      </c>
      <c r="H5" s="5" t="s">
        <v>39</v>
      </c>
      <c r="I5" s="11" t="s">
        <v>954</v>
      </c>
      <c r="J5" s="5" t="s">
        <v>982</v>
      </c>
      <c r="K5" s="5" t="s">
        <v>983</v>
      </c>
      <c r="L5" s="5" t="s">
        <v>984</v>
      </c>
    </row>
    <row r="6" customFormat="false" ht="41.75" hidden="false" customHeight="false" outlineLevel="0" collapsed="false">
      <c r="A6" s="5" t="n">
        <v>5</v>
      </c>
      <c r="B6" s="5" t="s">
        <v>985</v>
      </c>
      <c r="C6" s="5" t="s">
        <v>986</v>
      </c>
      <c r="D6" s="5" t="s">
        <v>978</v>
      </c>
      <c r="E6" s="5" t="s">
        <v>987</v>
      </c>
      <c r="F6" s="5" t="s">
        <v>988</v>
      </c>
      <c r="G6" s="5" t="s">
        <v>989</v>
      </c>
      <c r="H6" s="5" t="s">
        <v>39</v>
      </c>
      <c r="I6" s="12" t="s">
        <v>990</v>
      </c>
      <c r="J6" s="5" t="s">
        <v>991</v>
      </c>
      <c r="K6" s="5" t="s">
        <v>992</v>
      </c>
      <c r="L6" s="5" t="s">
        <v>993</v>
      </c>
    </row>
    <row r="7" customFormat="false" ht="41.75" hidden="false" customHeight="false" outlineLevel="0" collapsed="false">
      <c r="A7" s="5" t="n">
        <v>6</v>
      </c>
      <c r="B7" s="5" t="s">
        <v>994</v>
      </c>
      <c r="C7" s="5" t="s">
        <v>995</v>
      </c>
      <c r="D7" s="5" t="s">
        <v>960</v>
      </c>
      <c r="E7" s="5" t="s">
        <v>996</v>
      </c>
      <c r="F7" s="5" t="s">
        <v>997</v>
      </c>
      <c r="G7" s="5" t="s">
        <v>998</v>
      </c>
      <c r="H7" s="5" t="s">
        <v>953</v>
      </c>
      <c r="I7" s="13" t="s">
        <v>999</v>
      </c>
      <c r="J7" s="5" t="s">
        <v>1000</v>
      </c>
      <c r="K7" s="5" t="s">
        <v>1001</v>
      </c>
      <c r="L7" s="5" t="s">
        <v>1002</v>
      </c>
    </row>
    <row r="8" customFormat="false" ht="28.35" hidden="false" customHeight="false" outlineLevel="0" collapsed="false">
      <c r="A8" s="5" t="n">
        <v>7</v>
      </c>
      <c r="B8" s="5" t="s">
        <v>994</v>
      </c>
      <c r="C8" s="5" t="s">
        <v>1003</v>
      </c>
      <c r="D8" s="5" t="s">
        <v>960</v>
      </c>
      <c r="E8" s="5" t="s">
        <v>1004</v>
      </c>
      <c r="F8" s="5" t="s">
        <v>1005</v>
      </c>
      <c r="G8" s="5" t="s">
        <v>39</v>
      </c>
      <c r="H8" s="5" t="s">
        <v>953</v>
      </c>
      <c r="I8" s="13" t="s">
        <v>999</v>
      </c>
      <c r="J8" s="5" t="s">
        <v>1006</v>
      </c>
      <c r="K8" s="5" t="s">
        <v>841</v>
      </c>
      <c r="L8" s="5" t="s">
        <v>1007</v>
      </c>
    </row>
    <row r="9" customFormat="false" ht="41.75" hidden="false" customHeight="false" outlineLevel="0" collapsed="false">
      <c r="A9" s="5" t="n">
        <v>8</v>
      </c>
      <c r="B9" s="5" t="s">
        <v>947</v>
      </c>
      <c r="C9" s="5" t="s">
        <v>1008</v>
      </c>
      <c r="D9" s="5" t="s">
        <v>949</v>
      </c>
      <c r="E9" s="5" t="s">
        <v>996</v>
      </c>
      <c r="F9" s="5" t="s">
        <v>1009</v>
      </c>
      <c r="G9" s="5" t="s">
        <v>39</v>
      </c>
      <c r="H9" s="5" t="s">
        <v>39</v>
      </c>
      <c r="I9" s="13" t="s">
        <v>999</v>
      </c>
      <c r="J9" s="5" t="s">
        <v>1010</v>
      </c>
      <c r="K9" s="5" t="s">
        <v>1011</v>
      </c>
      <c r="L9" s="5" t="s">
        <v>1012</v>
      </c>
    </row>
    <row r="10" customFormat="false" ht="41.75" hidden="false" customHeight="false" outlineLevel="0" collapsed="false">
      <c r="A10" s="5" t="n">
        <v>9</v>
      </c>
      <c r="B10" s="5" t="s">
        <v>1013</v>
      </c>
      <c r="C10" s="5" t="s">
        <v>1014</v>
      </c>
      <c r="D10" s="5" t="s">
        <v>949</v>
      </c>
      <c r="E10" s="5" t="s">
        <v>1015</v>
      </c>
      <c r="F10" s="5" t="s">
        <v>1016</v>
      </c>
      <c r="G10" s="5" t="s">
        <v>1017</v>
      </c>
      <c r="H10" s="5" t="s">
        <v>187</v>
      </c>
      <c r="I10" s="13" t="s">
        <v>999</v>
      </c>
      <c r="J10" s="5" t="s">
        <v>1018</v>
      </c>
      <c r="K10" s="5" t="s">
        <v>1019</v>
      </c>
      <c r="L10" s="5" t="s">
        <v>1020</v>
      </c>
    </row>
    <row r="11" customFormat="false" ht="15" hidden="false" customHeight="false" outlineLevel="0" collapsed="false">
      <c r="A11" s="5" t="n">
        <v>10</v>
      </c>
      <c r="B11" s="5" t="s">
        <v>1013</v>
      </c>
      <c r="C11" s="5" t="s">
        <v>1021</v>
      </c>
      <c r="D11" s="5" t="s">
        <v>949</v>
      </c>
      <c r="E11" s="5" t="s">
        <v>1022</v>
      </c>
      <c r="F11" s="5" t="s">
        <v>1023</v>
      </c>
      <c r="G11" s="5" t="s">
        <v>187</v>
      </c>
      <c r="H11" s="5" t="s">
        <v>83</v>
      </c>
      <c r="I11" s="13" t="s">
        <v>999</v>
      </c>
      <c r="J11" s="5" t="s">
        <v>1024</v>
      </c>
      <c r="K11" s="5" t="s">
        <v>841</v>
      </c>
      <c r="L11" s="5" t="s">
        <v>1007</v>
      </c>
    </row>
    <row r="12" customFormat="false" ht="15" hidden="false" customHeight="false" outlineLevel="0" collapsed="false">
      <c r="A12" s="5" t="n">
        <v>11</v>
      </c>
      <c r="B12" s="5" t="s">
        <v>1025</v>
      </c>
      <c r="C12" s="5" t="s">
        <v>1026</v>
      </c>
      <c r="D12" s="5" t="s">
        <v>949</v>
      </c>
      <c r="E12" s="5" t="s">
        <v>1022</v>
      </c>
      <c r="F12" s="5" t="s">
        <v>1027</v>
      </c>
      <c r="G12" s="5" t="s">
        <v>187</v>
      </c>
      <c r="H12" s="5" t="s">
        <v>187</v>
      </c>
      <c r="I12" s="13" t="s">
        <v>999</v>
      </c>
      <c r="J12" s="5" t="s">
        <v>1028</v>
      </c>
      <c r="K12" s="5" t="s">
        <v>841</v>
      </c>
      <c r="L12" s="5" t="s">
        <v>1007</v>
      </c>
    </row>
    <row r="13" customFormat="false" ht="41.75" hidden="false" customHeight="false" outlineLevel="0" collapsed="false">
      <c r="A13" s="5" t="n">
        <v>12</v>
      </c>
      <c r="B13" s="5" t="s">
        <v>1029</v>
      </c>
      <c r="C13" s="5" t="s">
        <v>1030</v>
      </c>
      <c r="D13" s="5" t="s">
        <v>960</v>
      </c>
      <c r="E13" s="5" t="s">
        <v>1031</v>
      </c>
      <c r="F13" s="5" t="s">
        <v>1032</v>
      </c>
      <c r="G13" s="5" t="s">
        <v>187</v>
      </c>
      <c r="H13" s="5" t="s">
        <v>83</v>
      </c>
      <c r="I13" s="13" t="s">
        <v>999</v>
      </c>
      <c r="J13" s="5" t="s">
        <v>1033</v>
      </c>
      <c r="K13" s="5" t="s">
        <v>1034</v>
      </c>
      <c r="L13" s="5" t="s">
        <v>1007</v>
      </c>
    </row>
    <row r="14" customFormat="false" ht="28.35" hidden="false" customHeight="false" outlineLevel="0" collapsed="false">
      <c r="A14" s="5" t="n">
        <v>13</v>
      </c>
      <c r="B14" s="5" t="s">
        <v>1035</v>
      </c>
      <c r="C14" s="5" t="s">
        <v>1036</v>
      </c>
      <c r="D14" s="5" t="s">
        <v>960</v>
      </c>
      <c r="E14" s="5" t="s">
        <v>1031</v>
      </c>
      <c r="F14" s="5" t="s">
        <v>1037</v>
      </c>
      <c r="G14" s="5" t="s">
        <v>1038</v>
      </c>
      <c r="H14" s="5" t="s">
        <v>83</v>
      </c>
      <c r="I14" s="13" t="s">
        <v>999</v>
      </c>
      <c r="J14" s="5" t="s">
        <v>1039</v>
      </c>
      <c r="K14" s="5" t="s">
        <v>841</v>
      </c>
      <c r="L14" s="5" t="s">
        <v>1007</v>
      </c>
    </row>
    <row r="15" customFormat="false" ht="28.35" hidden="false" customHeight="false" outlineLevel="0" collapsed="false">
      <c r="A15" s="5" t="n">
        <v>14</v>
      </c>
      <c r="B15" s="5" t="s">
        <v>1040</v>
      </c>
      <c r="C15" s="5" t="s">
        <v>1041</v>
      </c>
      <c r="D15" s="5" t="s">
        <v>1042</v>
      </c>
      <c r="E15" s="5" t="s">
        <v>1031</v>
      </c>
      <c r="F15" s="5" t="s">
        <v>83</v>
      </c>
      <c r="G15" s="5" t="s">
        <v>953</v>
      </c>
      <c r="H15" s="5" t="s">
        <v>1043</v>
      </c>
      <c r="I15" s="13" t="s">
        <v>999</v>
      </c>
      <c r="J15" s="5" t="s">
        <v>1044</v>
      </c>
      <c r="K15" s="5" t="s">
        <v>1045</v>
      </c>
      <c r="L15" s="5" t="s">
        <v>1046</v>
      </c>
    </row>
    <row r="16" customFormat="false" ht="28.35" hidden="false" customHeight="false" outlineLevel="0" collapsed="false">
      <c r="A16" s="5" t="n">
        <v>15</v>
      </c>
      <c r="B16" s="5" t="s">
        <v>1047</v>
      </c>
      <c r="C16" s="5" t="s">
        <v>1048</v>
      </c>
      <c r="D16" s="5" t="s">
        <v>1049</v>
      </c>
      <c r="E16" s="5" t="s">
        <v>1022</v>
      </c>
      <c r="F16" s="5" t="s">
        <v>1050</v>
      </c>
      <c r="G16" s="5" t="s">
        <v>83</v>
      </c>
      <c r="H16" s="5" t="s">
        <v>83</v>
      </c>
      <c r="I16" s="13" t="s">
        <v>999</v>
      </c>
      <c r="J16" s="5" t="s">
        <v>1051</v>
      </c>
      <c r="K16" s="5" t="s">
        <v>841</v>
      </c>
      <c r="L16" s="5" t="s">
        <v>1007</v>
      </c>
    </row>
    <row r="17" customFormat="false" ht="41.75" hidden="false" customHeight="false" outlineLevel="0" collapsed="false">
      <c r="A17" s="5" t="n">
        <v>16</v>
      </c>
      <c r="B17" s="5" t="s">
        <v>1052</v>
      </c>
      <c r="C17" s="5" t="s">
        <v>1053</v>
      </c>
      <c r="D17" s="5" t="s">
        <v>841</v>
      </c>
      <c r="E17" s="5" t="s">
        <v>1054</v>
      </c>
      <c r="F17" s="5" t="s">
        <v>1055</v>
      </c>
      <c r="G17" s="5" t="s">
        <v>1043</v>
      </c>
      <c r="H17" s="5" t="s">
        <v>841</v>
      </c>
      <c r="I17" s="13" t="s">
        <v>1056</v>
      </c>
      <c r="J17" s="5" t="s">
        <v>1057</v>
      </c>
      <c r="K17" s="5" t="s">
        <v>1058</v>
      </c>
      <c r="L17" s="5" t="s">
        <v>1059</v>
      </c>
    </row>
    <row r="19" customFormat="false" ht="15" hidden="false" customHeight="false" outlineLevel="0" collapsed="false">
      <c r="A19" s="3" t="s">
        <v>1060</v>
      </c>
    </row>
    <row r="20" customFormat="false" ht="15" hidden="false" customHeight="false" outlineLevel="0" collapsed="false">
      <c r="A20" s="0" t="s">
        <v>1061</v>
      </c>
    </row>
    <row r="21" customFormat="false" ht="15" hidden="false" customHeight="false" outlineLevel="0" collapsed="false">
      <c r="A21" s="0" t="s">
        <v>1062</v>
      </c>
    </row>
    <row r="22" customFormat="false" ht="15" hidden="false" customHeight="false" outlineLevel="0" collapsed="false">
      <c r="A22" s="0" t="s">
        <v>1063</v>
      </c>
    </row>
    <row r="23" customFormat="false" ht="15" hidden="false" customHeight="false" outlineLevel="0" collapsed="false">
      <c r="A23" s="0" t="s">
        <v>1064</v>
      </c>
    </row>
  </sheetData>
  <autoFilter ref="A1:L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7" min="4" style="0" width="11"/>
    <col collapsed="false" customWidth="true" hidden="false" outlineLevel="0" max="11" min="8" style="0" width="12"/>
    <col collapsed="false" customWidth="true" hidden="false" outlineLevel="0" max="12" min="12" style="0" width="60"/>
  </cols>
  <sheetData>
    <row r="1" customFormat="false" ht="55.2" hidden="false" customHeight="false" outlineLevel="0" collapsed="false">
      <c r="A1" s="4" t="s">
        <v>937</v>
      </c>
      <c r="B1" s="4" t="s">
        <v>1065</v>
      </c>
      <c r="C1" s="4" t="s">
        <v>1066</v>
      </c>
      <c r="D1" s="4" t="s">
        <v>1067</v>
      </c>
      <c r="E1" s="4" t="s">
        <v>1068</v>
      </c>
      <c r="F1" s="4" t="s">
        <v>1069</v>
      </c>
      <c r="G1" s="4" t="s">
        <v>1070</v>
      </c>
      <c r="H1" s="4" t="s">
        <v>1071</v>
      </c>
      <c r="I1" s="4" t="s">
        <v>1072</v>
      </c>
      <c r="J1" s="4" t="s">
        <v>1073</v>
      </c>
      <c r="K1" s="4" t="s">
        <v>1074</v>
      </c>
      <c r="L1" s="4" t="s">
        <v>878</v>
      </c>
    </row>
    <row r="2" customFormat="false" ht="41.75" hidden="false" customHeight="false" outlineLevel="0" collapsed="false">
      <c r="A2" s="5" t="n">
        <v>1</v>
      </c>
      <c r="B2" s="5" t="s">
        <v>1075</v>
      </c>
      <c r="C2" s="14" t="n">
        <v>14</v>
      </c>
      <c r="D2" s="14" t="n">
        <v>3</v>
      </c>
      <c r="E2" s="14" t="n">
        <v>5</v>
      </c>
      <c r="F2" s="14" t="n">
        <v>4</v>
      </c>
      <c r="G2" s="14" t="n">
        <v>4</v>
      </c>
      <c r="H2" s="15" t="n">
        <f aca="false">$C2*D2/100</f>
        <v>0.42</v>
      </c>
      <c r="I2" s="15" t="n">
        <f aca="false">$C2*E2/100</f>
        <v>0.7</v>
      </c>
      <c r="J2" s="15" t="n">
        <f aca="false">$C2*F2/100</f>
        <v>0.56</v>
      </c>
      <c r="K2" s="15" t="n">
        <f aca="false">$C2*G2/100</f>
        <v>0.56</v>
      </c>
      <c r="L2" s="5" t="s">
        <v>1076</v>
      </c>
    </row>
    <row r="3" customFormat="false" ht="28.35" hidden="false" customHeight="false" outlineLevel="0" collapsed="false">
      <c r="A3" s="5" t="n">
        <v>2</v>
      </c>
      <c r="B3" s="5" t="s">
        <v>1077</v>
      </c>
      <c r="C3" s="14" t="n">
        <v>14</v>
      </c>
      <c r="D3" s="14" t="n">
        <v>3</v>
      </c>
      <c r="E3" s="14" t="n">
        <v>4</v>
      </c>
      <c r="F3" s="14" t="n">
        <v>4</v>
      </c>
      <c r="G3" s="14" t="n">
        <v>4</v>
      </c>
      <c r="H3" s="15" t="n">
        <f aca="false">$C3*D3/100</f>
        <v>0.42</v>
      </c>
      <c r="I3" s="15" t="n">
        <f aca="false">$C3*E3/100</f>
        <v>0.56</v>
      </c>
      <c r="J3" s="15" t="n">
        <f aca="false">$C3*F3/100</f>
        <v>0.56</v>
      </c>
      <c r="K3" s="15" t="n">
        <f aca="false">$C3*G3/100</f>
        <v>0.56</v>
      </c>
      <c r="L3" s="5" t="s">
        <v>1078</v>
      </c>
    </row>
    <row r="4" customFormat="false" ht="55.2" hidden="false" customHeight="false" outlineLevel="0" collapsed="false">
      <c r="A4" s="5" t="n">
        <v>3</v>
      </c>
      <c r="B4" s="5" t="s">
        <v>1079</v>
      </c>
      <c r="C4" s="14" t="n">
        <v>8</v>
      </c>
      <c r="D4" s="14" t="n">
        <v>3</v>
      </c>
      <c r="E4" s="14" t="n">
        <v>3</v>
      </c>
      <c r="F4" s="14" t="n">
        <v>5</v>
      </c>
      <c r="G4" s="14" t="n">
        <v>3</v>
      </c>
      <c r="H4" s="15" t="n">
        <f aca="false">$C4*D4/100</f>
        <v>0.24</v>
      </c>
      <c r="I4" s="15" t="n">
        <f aca="false">$C4*E4/100</f>
        <v>0.24</v>
      </c>
      <c r="J4" s="15" t="n">
        <f aca="false">$C4*F4/100</f>
        <v>0.4</v>
      </c>
      <c r="K4" s="15" t="n">
        <f aca="false">$C4*G4/100</f>
        <v>0.24</v>
      </c>
      <c r="L4" s="5" t="s">
        <v>1080</v>
      </c>
    </row>
    <row r="5" customFormat="false" ht="28.35" hidden="false" customHeight="false" outlineLevel="0" collapsed="false">
      <c r="A5" s="5" t="n">
        <v>4</v>
      </c>
      <c r="B5" s="5" t="s">
        <v>1081</v>
      </c>
      <c r="C5" s="14" t="n">
        <v>7</v>
      </c>
      <c r="D5" s="14" t="n">
        <v>3</v>
      </c>
      <c r="E5" s="14" t="n">
        <v>4</v>
      </c>
      <c r="F5" s="14" t="n">
        <v>5</v>
      </c>
      <c r="G5" s="14" t="n">
        <v>4</v>
      </c>
      <c r="H5" s="15" t="n">
        <f aca="false">$C5*D5/100</f>
        <v>0.21</v>
      </c>
      <c r="I5" s="15" t="n">
        <f aca="false">$C5*E5/100</f>
        <v>0.28</v>
      </c>
      <c r="J5" s="15" t="n">
        <f aca="false">$C5*F5/100</f>
        <v>0.35</v>
      </c>
      <c r="K5" s="15" t="n">
        <f aca="false">$C5*G5/100</f>
        <v>0.28</v>
      </c>
      <c r="L5" s="5" t="s">
        <v>1082</v>
      </c>
    </row>
    <row r="6" customFormat="false" ht="28.35" hidden="false" customHeight="false" outlineLevel="0" collapsed="false">
      <c r="A6" s="5" t="n">
        <v>5</v>
      </c>
      <c r="B6" s="5" t="s">
        <v>1083</v>
      </c>
      <c r="C6" s="14" t="n">
        <v>9</v>
      </c>
      <c r="D6" s="14" t="n">
        <v>3</v>
      </c>
      <c r="E6" s="14" t="n">
        <v>4</v>
      </c>
      <c r="F6" s="14" t="n">
        <v>5</v>
      </c>
      <c r="G6" s="14" t="n">
        <v>3</v>
      </c>
      <c r="H6" s="15" t="n">
        <f aca="false">$C6*D6/100</f>
        <v>0.27</v>
      </c>
      <c r="I6" s="15" t="n">
        <f aca="false">$C6*E6/100</f>
        <v>0.36</v>
      </c>
      <c r="J6" s="15" t="n">
        <f aca="false">$C6*F6/100</f>
        <v>0.45</v>
      </c>
      <c r="K6" s="15" t="n">
        <f aca="false">$C6*G6/100</f>
        <v>0.27</v>
      </c>
      <c r="L6" s="5" t="s">
        <v>1084</v>
      </c>
    </row>
    <row r="7" customFormat="false" ht="15" hidden="false" customHeight="false" outlineLevel="0" collapsed="false">
      <c r="A7" s="5" t="n">
        <v>6</v>
      </c>
      <c r="B7" s="5" t="s">
        <v>1085</v>
      </c>
      <c r="C7" s="14" t="n">
        <v>6</v>
      </c>
      <c r="D7" s="14" t="n">
        <v>3</v>
      </c>
      <c r="E7" s="14" t="n">
        <v>4</v>
      </c>
      <c r="F7" s="14" t="n">
        <v>4</v>
      </c>
      <c r="G7" s="14" t="n">
        <v>4</v>
      </c>
      <c r="H7" s="15" t="n">
        <f aca="false">$C7*D7/100</f>
        <v>0.18</v>
      </c>
      <c r="I7" s="15" t="n">
        <f aca="false">$C7*E7/100</f>
        <v>0.24</v>
      </c>
      <c r="J7" s="15" t="n">
        <f aca="false">$C7*F7/100</f>
        <v>0.24</v>
      </c>
      <c r="K7" s="15" t="n">
        <f aca="false">$C7*G7/100</f>
        <v>0.24</v>
      </c>
      <c r="L7" s="5" t="s">
        <v>1086</v>
      </c>
    </row>
    <row r="8" customFormat="false" ht="28.35" hidden="false" customHeight="false" outlineLevel="0" collapsed="false">
      <c r="A8" s="5" t="n">
        <v>7</v>
      </c>
      <c r="B8" s="5" t="s">
        <v>1087</v>
      </c>
      <c r="C8" s="14" t="n">
        <v>11</v>
      </c>
      <c r="D8" s="14" t="n">
        <v>5</v>
      </c>
      <c r="E8" s="14" t="n">
        <v>3</v>
      </c>
      <c r="F8" s="14" t="n">
        <v>4</v>
      </c>
      <c r="G8" s="14" t="n">
        <v>3</v>
      </c>
      <c r="H8" s="15" t="n">
        <f aca="false">$C8*D8/100</f>
        <v>0.55</v>
      </c>
      <c r="I8" s="15" t="n">
        <f aca="false">$C8*E8/100</f>
        <v>0.33</v>
      </c>
      <c r="J8" s="15" t="n">
        <f aca="false">$C8*F8/100</f>
        <v>0.44</v>
      </c>
      <c r="K8" s="15" t="n">
        <f aca="false">$C8*G8/100</f>
        <v>0.33</v>
      </c>
      <c r="L8" s="5" t="s">
        <v>1088</v>
      </c>
    </row>
    <row r="9" customFormat="false" ht="28.35" hidden="false" customHeight="false" outlineLevel="0" collapsed="false">
      <c r="A9" s="5" t="n">
        <v>8</v>
      </c>
      <c r="B9" s="5" t="s">
        <v>1089</v>
      </c>
      <c r="C9" s="14" t="n">
        <v>7</v>
      </c>
      <c r="D9" s="14" t="n">
        <v>5</v>
      </c>
      <c r="E9" s="14" t="n">
        <v>4</v>
      </c>
      <c r="F9" s="14" t="n">
        <v>4</v>
      </c>
      <c r="G9" s="14" t="n">
        <v>4</v>
      </c>
      <c r="H9" s="15" t="n">
        <f aca="false">$C9*D9/100</f>
        <v>0.35</v>
      </c>
      <c r="I9" s="15" t="n">
        <f aca="false">$C9*E9/100</f>
        <v>0.28</v>
      </c>
      <c r="J9" s="15" t="n">
        <f aca="false">$C9*F9/100</f>
        <v>0.28</v>
      </c>
      <c r="K9" s="15" t="n">
        <f aca="false">$C9*G9/100</f>
        <v>0.28</v>
      </c>
      <c r="L9" s="5" t="s">
        <v>1090</v>
      </c>
    </row>
    <row r="10" customFormat="false" ht="28.35" hidden="false" customHeight="false" outlineLevel="0" collapsed="false">
      <c r="A10" s="5" t="n">
        <v>9</v>
      </c>
      <c r="B10" s="5" t="s">
        <v>1091</v>
      </c>
      <c r="C10" s="14" t="n">
        <v>8</v>
      </c>
      <c r="D10" s="14" t="n">
        <v>4</v>
      </c>
      <c r="E10" s="14" t="n">
        <v>5</v>
      </c>
      <c r="F10" s="14" t="n">
        <v>5</v>
      </c>
      <c r="G10" s="14" t="n">
        <v>5</v>
      </c>
      <c r="H10" s="15" t="n">
        <f aca="false">$C10*D10/100</f>
        <v>0.32</v>
      </c>
      <c r="I10" s="15" t="n">
        <f aca="false">$C10*E10/100</f>
        <v>0.4</v>
      </c>
      <c r="J10" s="15" t="n">
        <f aca="false">$C10*F10/100</f>
        <v>0.4</v>
      </c>
      <c r="K10" s="15" t="n">
        <f aca="false">$C10*G10/100</f>
        <v>0.4</v>
      </c>
      <c r="L10" s="5" t="s">
        <v>1092</v>
      </c>
    </row>
    <row r="11" customFormat="false" ht="28.35" hidden="false" customHeight="false" outlineLevel="0" collapsed="false">
      <c r="A11" s="5" t="n">
        <v>10</v>
      </c>
      <c r="B11" s="5" t="s">
        <v>1093</v>
      </c>
      <c r="C11" s="14" t="n">
        <v>9</v>
      </c>
      <c r="D11" s="14" t="n">
        <v>5</v>
      </c>
      <c r="E11" s="14" t="n">
        <v>3</v>
      </c>
      <c r="F11" s="14" t="n">
        <v>3</v>
      </c>
      <c r="G11" s="14" t="n">
        <v>3</v>
      </c>
      <c r="H11" s="15" t="n">
        <f aca="false">$C11*D11/100</f>
        <v>0.45</v>
      </c>
      <c r="I11" s="15" t="n">
        <f aca="false">$C11*E11/100</f>
        <v>0.27</v>
      </c>
      <c r="J11" s="15" t="n">
        <f aca="false">$C11*F11/100</f>
        <v>0.27</v>
      </c>
      <c r="K11" s="15" t="n">
        <f aca="false">$C11*G11/100</f>
        <v>0.27</v>
      </c>
      <c r="L11" s="5" t="s">
        <v>1094</v>
      </c>
    </row>
    <row r="12" customFormat="false" ht="15" hidden="false" customHeight="false" outlineLevel="0" collapsed="false">
      <c r="A12" s="5" t="n">
        <v>11</v>
      </c>
      <c r="B12" s="5" t="s">
        <v>1095</v>
      </c>
      <c r="C12" s="14" t="n">
        <v>7</v>
      </c>
      <c r="D12" s="14" t="n">
        <v>4</v>
      </c>
      <c r="E12" s="14" t="n">
        <v>3</v>
      </c>
      <c r="F12" s="14" t="n">
        <v>3</v>
      </c>
      <c r="G12" s="14" t="n">
        <v>3</v>
      </c>
      <c r="H12" s="15" t="n">
        <f aca="false">$C12*D12/100</f>
        <v>0.28</v>
      </c>
      <c r="I12" s="15" t="n">
        <f aca="false">$C12*E12/100</f>
        <v>0.21</v>
      </c>
      <c r="J12" s="15" t="n">
        <f aca="false">$C12*F12/100</f>
        <v>0.21</v>
      </c>
      <c r="K12" s="15" t="n">
        <f aca="false">$C12*G12/100</f>
        <v>0.21</v>
      </c>
      <c r="L12" s="5" t="s">
        <v>1096</v>
      </c>
    </row>
    <row r="13" customFormat="false" ht="15" hidden="false" customHeight="false" outlineLevel="0" collapsed="false">
      <c r="A13" s="16"/>
      <c r="B13" s="16" t="s">
        <v>1097</v>
      </c>
      <c r="C13" s="16" t="n">
        <f aca="false">SUM(C2:C12)</f>
        <v>100</v>
      </c>
      <c r="D13" s="16"/>
      <c r="E13" s="16"/>
      <c r="F13" s="16"/>
      <c r="G13" s="16"/>
      <c r="H13" s="17" t="n">
        <f aca="false">SUM(H2:H12)</f>
        <v>3.69</v>
      </c>
      <c r="I13" s="17" t="n">
        <f aca="false">SUM(I2:I12)</f>
        <v>3.87</v>
      </c>
      <c r="J13" s="17" t="n">
        <f aca="false">SUM(J2:J12)</f>
        <v>4.16</v>
      </c>
      <c r="K13" s="17" t="n">
        <f aca="false">SUM(K2:K12)</f>
        <v>3.64</v>
      </c>
      <c r="L13" s="16"/>
    </row>
    <row r="14" customFormat="false" ht="15" hidden="false" customHeight="false" outlineLevel="0" collapsed="false">
      <c r="A14" s="16"/>
      <c r="B14" s="16" t="s">
        <v>1098</v>
      </c>
      <c r="C14" s="16"/>
      <c r="D14" s="16"/>
      <c r="E14" s="16"/>
      <c r="F14" s="16"/>
      <c r="G14" s="16"/>
      <c r="H14" s="17" t="n">
        <f aca="false">RANK(H13,$H$13:$K$13)</f>
        <v>3</v>
      </c>
      <c r="I14" s="17" t="n">
        <f aca="false">RANK(I13,$H$13:$K$13)</f>
        <v>2</v>
      </c>
      <c r="J14" s="17" t="n">
        <f aca="false">RANK(J13,$H$13:$K$13)</f>
        <v>1</v>
      </c>
      <c r="K14" s="17" t="n">
        <f aca="false">RANK(K13,$H$13:$K$13)</f>
        <v>4</v>
      </c>
      <c r="L14" s="16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15"/>
      <c r="I15" s="15"/>
      <c r="J15" s="15"/>
      <c r="K15" s="15"/>
      <c r="L15" s="5"/>
    </row>
    <row r="16" customFormat="false" ht="15" hidden="false" customHeight="false" outlineLevel="0" collapsed="false">
      <c r="A16" s="16"/>
      <c r="B16" s="16" t="s">
        <v>1099</v>
      </c>
      <c r="C16" s="16"/>
      <c r="D16" s="16"/>
      <c r="E16" s="16"/>
      <c r="F16" s="16"/>
      <c r="G16" s="16"/>
      <c r="H16" s="17" t="n">
        <f aca="false">8_TCO_5J!C9/1000000</f>
        <v>2.56387</v>
      </c>
      <c r="I16" s="17" t="n">
        <f aca="false">8_TCO_5J!E9/1000000</f>
        <v>3.172375</v>
      </c>
      <c r="J16" s="17" t="n">
        <f aca="false">8_TCO_5J!F9/1000000</f>
        <v>3.79913</v>
      </c>
      <c r="K16" s="17" t="n">
        <f aca="false">8_TCO_5J!G9/1000000</f>
        <v>2.92127</v>
      </c>
      <c r="L16" s="16" t="s">
        <v>1100</v>
      </c>
    </row>
    <row r="17" customFormat="false" ht="15" hidden="false" customHeight="false" outlineLevel="0" collapsed="false">
      <c r="A17" s="16"/>
      <c r="B17" s="16" t="s">
        <v>1101</v>
      </c>
      <c r="C17" s="16"/>
      <c r="D17" s="16"/>
      <c r="E17" s="16"/>
      <c r="F17" s="16"/>
      <c r="G17" s="16"/>
      <c r="H17" s="17" t="n">
        <f aca="false">H13/H16</f>
        <v>1.43923053820982</v>
      </c>
      <c r="I17" s="17" t="n">
        <f aca="false">I13/I16</f>
        <v>1.21990622167934</v>
      </c>
      <c r="J17" s="17" t="n">
        <f aca="false">J13/J16</f>
        <v>1.09498753662023</v>
      </c>
      <c r="K17" s="17" t="n">
        <f aca="false">K13/K16</f>
        <v>1.24603340328008</v>
      </c>
      <c r="L17" s="16" t="s">
        <v>1102</v>
      </c>
    </row>
    <row r="19" customFormat="false" ht="15" hidden="false" customHeight="false" outlineLevel="0" collapsed="false">
      <c r="B19" s="18" t="s">
        <v>1103</v>
      </c>
    </row>
    <row r="20" customFormat="false" ht="15" hidden="false" customHeight="false" outlineLevel="0" collapsed="false">
      <c r="B20" s="18" t="s">
        <v>1104</v>
      </c>
    </row>
    <row r="22" customFormat="false" ht="15" hidden="false" customHeight="false" outlineLevel="0" collapsed="false">
      <c r="B22" s="3" t="s">
        <v>1105</v>
      </c>
    </row>
    <row r="23" customFormat="false" ht="15" hidden="false" customHeight="false" outlineLevel="0" collapsed="false">
      <c r="B23" s="19" t="s">
        <v>1106</v>
      </c>
      <c r="H23" s="19" t="s">
        <v>1107</v>
      </c>
      <c r="I23" s="19" t="s">
        <v>1108</v>
      </c>
      <c r="J23" s="19" t="s">
        <v>968</v>
      </c>
      <c r="K23" s="19" t="s">
        <v>977</v>
      </c>
    </row>
    <row r="24" customFormat="false" ht="15" hidden="false" customHeight="false" outlineLevel="0" collapsed="false">
      <c r="B24" s="0" t="s">
        <v>1109</v>
      </c>
      <c r="H24" s="20" t="n">
        <f aca="false">(14*D2+14*D3+8*D4+7*D5+9*D6+6*D7+11*D8+7*D9+8*D10+9*D11+7*D12)/100</f>
        <v>3.69</v>
      </c>
      <c r="I24" s="20" t="n">
        <f aca="false">(14*E2+14*E3+8*E4+7*E5+9*E6+6*E7+11*E8+7*E9+8*E10+9*E11+7*E12)/100</f>
        <v>3.87</v>
      </c>
      <c r="J24" s="20" t="n">
        <f aca="false">(14*F2+14*F3+8*F4+7*F5+9*F6+6*F7+11*F8+7*F9+8*F10+9*F11+7*F12)/100</f>
        <v>4.16</v>
      </c>
      <c r="K24" s="20" t="n">
        <f aca="false">(14*G2+14*G3+8*G4+7*G5+9*G6+6*G7+11*G8+7*G9+8*G10+9*G11+7*G12)/100</f>
        <v>3.64</v>
      </c>
    </row>
    <row r="25" customFormat="false" ht="15" hidden="false" customHeight="false" outlineLevel="0" collapsed="false">
      <c r="B25" s="0" t="s">
        <v>1110</v>
      </c>
      <c r="H25" s="20" t="n">
        <f aca="false">(20*D2+20*D3+8*D4+7*D5+7*D6+6*D7+9*D8+5*D9+8*D10+5*D11+5*D12)/100</f>
        <v>3.51</v>
      </c>
      <c r="I25" s="20" t="n">
        <f aca="false">(20*E2+20*E3+8*E4+7*E5+7*E6+6*E7+9*E8+5*E9+8*E10+5*E11+5*E12)/100</f>
        <v>4.01</v>
      </c>
      <c r="J25" s="20" t="n">
        <f aca="false">(20*F2+20*F3+8*F4+7*F5+7*F6+6*F7+9*F8+5*F9+8*F10+5*F11+5*F12)/100</f>
        <v>4.2</v>
      </c>
      <c r="K25" s="20" t="n">
        <f aca="false">(20*G2+20*G3+8*G4+7*G5+7*G6+6*G7+9*G8+5*G9+8*G10+5*G11+5*G12)/100</f>
        <v>3.74</v>
      </c>
    </row>
    <row r="26" customFormat="false" ht="15" hidden="false" customHeight="false" outlineLevel="0" collapsed="false">
      <c r="B26" s="0" t="s">
        <v>1111</v>
      </c>
      <c r="H26" s="20" t="n">
        <f aca="false">(11*D2+11*D3+8*D4+5*D5+7*D6+5*D7+14*D8+7*D9+8*D10+17*D11+7*D12)/100</f>
        <v>3.91</v>
      </c>
      <c r="I26" s="20" t="n">
        <f aca="false">(11*E2+11*E3+8*E4+5*E5+7*E6+5*E7+14*E8+7*E9+8*E10+17*E11+7*E12)/100</f>
        <v>3.73</v>
      </c>
      <c r="J26" s="20" t="n">
        <f aca="false">(11*F2+11*F3+8*F4+5*F5+7*F6+5*F7+14*F8+7*F9+8*F10+17*F11+7*F12)/100</f>
        <v>4.04</v>
      </c>
      <c r="K26" s="20" t="n">
        <f aca="false">(11*G2+11*G3+8*G4+5*G5+7*G6+5*G7+14*G8+7*G9+8*G10+17*G11+7*G12)/100</f>
        <v>3.55</v>
      </c>
    </row>
    <row r="27" customFormat="false" ht="15" hidden="false" customHeight="false" outlineLevel="0" collapsed="false">
      <c r="B27" s="0" t="s">
        <v>1112</v>
      </c>
      <c r="H27" s="20" t="n">
        <f aca="false">(13*D2+13*D3+7*D4+7*D5+9*D6+6*D7+9*D8+6*D9+18*D10+6*D11+6*D12)/100</f>
        <v>3.66</v>
      </c>
      <c r="I27" s="20" t="n">
        <f aca="false">(13*E2+13*E3+7*E4+7*E5+9*E6+6*E7+9*E8+6*E9+18*E10+6*E11+6*E12)/100</f>
        <v>4.03</v>
      </c>
      <c r="J27" s="20" t="n">
        <f aca="false">(13*F2+13*F3+7*F4+7*F5+9*F6+6*F7+9*F8+6*F9+18*F10+6*F11+6*F12)/100</f>
        <v>4.29</v>
      </c>
      <c r="K27" s="20" t="n">
        <f aca="false">(13*G2+13*G3+7*G4+7*G5+9*G6+6*G7+9*G8+6*G9+18*G10+6*G11+6*G12)/100</f>
        <v>3.81</v>
      </c>
    </row>
    <row r="29" customFormat="false" ht="68.65" hidden="false" customHeight="false" outlineLevel="0" collapsed="false">
      <c r="B29" s="21" t="s">
        <v>1113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6"/>
    <col collapsed="false" customWidth="true" hidden="false" outlineLevel="0" max="8" min="8" style="0" width="70"/>
  </cols>
  <sheetData>
    <row r="1" customFormat="false" ht="41.75" hidden="false" customHeight="false" outlineLevel="0" collapsed="false">
      <c r="A1" s="4" t="s">
        <v>1114</v>
      </c>
      <c r="B1" s="4" t="s">
        <v>1115</v>
      </c>
      <c r="C1" s="4" t="s">
        <v>1107</v>
      </c>
      <c r="D1" s="4" t="s">
        <v>1116</v>
      </c>
      <c r="E1" s="4" t="s">
        <v>1108</v>
      </c>
      <c r="F1" s="4" t="s">
        <v>968</v>
      </c>
      <c r="G1" s="4" t="s">
        <v>977</v>
      </c>
      <c r="H1" s="4" t="s">
        <v>1117</v>
      </c>
    </row>
    <row r="2" customFormat="false" ht="15" hidden="false" customHeight="false" outlineLevel="0" collapsed="false">
      <c r="A2" s="5" t="s">
        <v>1118</v>
      </c>
      <c r="B2" s="5" t="s">
        <v>1119</v>
      </c>
      <c r="C2" s="22" t="n">
        <v>120</v>
      </c>
      <c r="D2" s="22" t="n">
        <v>120</v>
      </c>
      <c r="E2" s="22" t="n">
        <v>120</v>
      </c>
      <c r="F2" s="22" t="n">
        <v>120</v>
      </c>
      <c r="G2" s="22" t="n">
        <v>120</v>
      </c>
      <c r="H2" s="5" t="s">
        <v>1120</v>
      </c>
    </row>
    <row r="3" customFormat="false" ht="15" hidden="false" customHeight="false" outlineLevel="0" collapsed="false">
      <c r="A3" s="5" t="s">
        <v>1121</v>
      </c>
      <c r="B3" s="5" t="s">
        <v>1119</v>
      </c>
      <c r="C3" s="22" t="n">
        <v>110</v>
      </c>
      <c r="D3" s="22" t="n">
        <v>110</v>
      </c>
      <c r="E3" s="22" t="n">
        <v>110</v>
      </c>
      <c r="F3" s="22" t="n">
        <v>110</v>
      </c>
      <c r="G3" s="22" t="n">
        <v>110</v>
      </c>
      <c r="H3" s="5" t="s">
        <v>1120</v>
      </c>
    </row>
    <row r="4" customFormat="false" ht="15" hidden="false" customHeight="false" outlineLevel="0" collapsed="false">
      <c r="A4" s="5" t="s">
        <v>1122</v>
      </c>
      <c r="B4" s="5" t="s">
        <v>1119</v>
      </c>
      <c r="C4" s="22" t="n">
        <v>30</v>
      </c>
      <c r="D4" s="22" t="n">
        <v>30</v>
      </c>
      <c r="E4" s="22" t="n">
        <v>30</v>
      </c>
      <c r="F4" s="22" t="n">
        <v>30</v>
      </c>
      <c r="G4" s="22" t="n">
        <v>30</v>
      </c>
      <c r="H4" s="5" t="s">
        <v>1123</v>
      </c>
    </row>
    <row r="5" customFormat="false" ht="28.35" hidden="false" customHeight="false" outlineLevel="0" collapsed="false">
      <c r="A5" s="5" t="s">
        <v>1124</v>
      </c>
      <c r="B5" s="5" t="s">
        <v>1125</v>
      </c>
      <c r="C5" s="22" t="n">
        <v>95.3</v>
      </c>
      <c r="D5" s="22" t="n">
        <v>95.3</v>
      </c>
      <c r="E5" s="22" t="n">
        <v>130</v>
      </c>
      <c r="F5" s="22" t="n">
        <v>170</v>
      </c>
      <c r="G5" s="22" t="n">
        <v>115</v>
      </c>
      <c r="H5" s="5" t="s">
        <v>1126</v>
      </c>
    </row>
    <row r="6" customFormat="false" ht="15" hidden="false" customHeight="false" outlineLevel="0" collapsed="false">
      <c r="A6" s="5" t="s">
        <v>1127</v>
      </c>
      <c r="B6" s="5" t="s">
        <v>1125</v>
      </c>
      <c r="C6" s="22" t="n">
        <v>6.9</v>
      </c>
      <c r="D6" s="22" t="n">
        <v>6.9</v>
      </c>
      <c r="E6" s="22" t="n">
        <v>40</v>
      </c>
      <c r="F6" s="22" t="n">
        <v>50</v>
      </c>
      <c r="G6" s="22" t="n">
        <v>35</v>
      </c>
      <c r="H6" s="5" t="s">
        <v>1128</v>
      </c>
    </row>
    <row r="7" customFormat="false" ht="15" hidden="false" customHeight="false" outlineLevel="0" collapsed="false">
      <c r="A7" s="5" t="s">
        <v>1129</v>
      </c>
      <c r="B7" s="5" t="s">
        <v>1125</v>
      </c>
      <c r="C7" s="22" t="n">
        <v>41</v>
      </c>
      <c r="D7" s="22" t="n">
        <v>41</v>
      </c>
      <c r="E7" s="22" t="n">
        <v>25</v>
      </c>
      <c r="F7" s="22" t="n">
        <v>40</v>
      </c>
      <c r="G7" s="22" t="n">
        <v>25</v>
      </c>
      <c r="H7" s="5" t="s">
        <v>1130</v>
      </c>
    </row>
    <row r="8" customFormat="false" ht="28.35" hidden="false" customHeight="false" outlineLevel="0" collapsed="false">
      <c r="A8" s="5" t="s">
        <v>1131</v>
      </c>
      <c r="B8" s="5" t="s">
        <v>1132</v>
      </c>
      <c r="C8" s="22" t="n">
        <v>30</v>
      </c>
      <c r="D8" s="22" t="n">
        <v>15</v>
      </c>
      <c r="E8" s="22" t="n">
        <v>0</v>
      </c>
      <c r="F8" s="22" t="n">
        <v>0</v>
      </c>
      <c r="G8" s="22" t="n">
        <v>0</v>
      </c>
      <c r="H8" s="5" t="s">
        <v>1133</v>
      </c>
    </row>
    <row r="9" customFormat="false" ht="15" hidden="false" customHeight="false" outlineLevel="0" collapsed="false">
      <c r="A9" s="5" t="s">
        <v>1134</v>
      </c>
      <c r="B9" s="5" t="s">
        <v>1135</v>
      </c>
      <c r="C9" s="22" t="n">
        <v>0</v>
      </c>
      <c r="D9" s="22" t="n">
        <v>0</v>
      </c>
      <c r="E9" s="22" t="n">
        <v>36000</v>
      </c>
      <c r="F9" s="22" t="n">
        <v>0</v>
      </c>
      <c r="G9" s="22" t="n">
        <v>30000</v>
      </c>
      <c r="H9" s="5" t="s">
        <v>1136</v>
      </c>
    </row>
    <row r="10" customFormat="false" ht="15" hidden="false" customHeight="false" outlineLevel="0" collapsed="false">
      <c r="A10" s="5" t="s">
        <v>1137</v>
      </c>
      <c r="B10" s="5" t="s">
        <v>1138</v>
      </c>
      <c r="C10" s="23" t="n">
        <v>0.4</v>
      </c>
      <c r="D10" s="23" t="n">
        <v>0.4</v>
      </c>
      <c r="E10" s="23" t="n">
        <v>0.4</v>
      </c>
      <c r="F10" s="23" t="n">
        <v>0.4</v>
      </c>
      <c r="G10" s="23" t="n">
        <v>0.4</v>
      </c>
      <c r="H10" s="5" t="s">
        <v>1139</v>
      </c>
    </row>
    <row r="11" customFormat="false" ht="15" hidden="false" customHeight="false" outlineLevel="0" collapsed="false">
      <c r="A11" s="5" t="s">
        <v>1140</v>
      </c>
      <c r="B11" s="5" t="s">
        <v>1141</v>
      </c>
      <c r="C11" s="22" t="n">
        <v>420</v>
      </c>
      <c r="D11" s="22" t="n">
        <v>330</v>
      </c>
      <c r="E11" s="22" t="n">
        <v>550</v>
      </c>
      <c r="F11" s="22" t="n">
        <v>700</v>
      </c>
      <c r="G11" s="22" t="n">
        <v>500</v>
      </c>
      <c r="H11" s="5" t="s">
        <v>1142</v>
      </c>
    </row>
    <row r="12" customFormat="false" ht="15" hidden="false" customHeight="false" outlineLevel="0" collapsed="false">
      <c r="A12" s="5" t="s">
        <v>1143</v>
      </c>
      <c r="B12" s="5" t="s">
        <v>1144</v>
      </c>
      <c r="C12" s="22" t="n">
        <v>1150</v>
      </c>
      <c r="D12" s="22" t="n">
        <v>1150</v>
      </c>
      <c r="E12" s="22" t="n">
        <v>1250</v>
      </c>
      <c r="F12" s="22" t="n">
        <v>1350</v>
      </c>
      <c r="G12" s="22" t="n">
        <v>1200</v>
      </c>
      <c r="H12" s="5" t="s">
        <v>1145</v>
      </c>
    </row>
    <row r="13" customFormat="false" ht="15" hidden="false" customHeight="false" outlineLevel="0" collapsed="false">
      <c r="A13" s="5" t="s">
        <v>1146</v>
      </c>
      <c r="B13" s="5" t="s">
        <v>1147</v>
      </c>
      <c r="C13" s="22" t="n">
        <v>400000</v>
      </c>
      <c r="D13" s="22" t="n">
        <v>350000</v>
      </c>
      <c r="E13" s="22" t="n">
        <v>450000</v>
      </c>
      <c r="F13" s="22" t="n">
        <v>500000</v>
      </c>
      <c r="G13" s="22" t="n">
        <v>450000</v>
      </c>
      <c r="H13" s="5" t="s">
        <v>1148</v>
      </c>
    </row>
    <row r="14" customFormat="false" ht="15" hidden="false" customHeight="false" outlineLevel="0" collapsed="false">
      <c r="A14" s="5" t="s">
        <v>1149</v>
      </c>
      <c r="B14" s="5" t="s">
        <v>1147</v>
      </c>
      <c r="C14" s="22" t="n">
        <v>80000</v>
      </c>
      <c r="D14" s="22" t="n">
        <v>70000</v>
      </c>
      <c r="E14" s="22" t="n">
        <v>80000</v>
      </c>
      <c r="F14" s="22" t="n">
        <v>90000</v>
      </c>
      <c r="G14" s="22" t="n">
        <v>80000</v>
      </c>
      <c r="H14" s="5" t="s">
        <v>1150</v>
      </c>
    </row>
    <row r="15" customFormat="false" ht="28.35" hidden="false" customHeight="false" outlineLevel="0" collapsed="false">
      <c r="A15" s="5" t="s">
        <v>1151</v>
      </c>
      <c r="B15" s="5" t="s">
        <v>1147</v>
      </c>
      <c r="C15" s="22" t="n">
        <v>120000</v>
      </c>
      <c r="D15" s="22" t="n">
        <v>100000</v>
      </c>
      <c r="E15" s="22" t="n">
        <v>120000</v>
      </c>
      <c r="F15" s="22" t="n">
        <v>130000</v>
      </c>
      <c r="G15" s="22" t="n">
        <v>120000</v>
      </c>
      <c r="H15" s="5" t="s">
        <v>1152</v>
      </c>
    </row>
    <row r="16" customFormat="false" ht="15" hidden="false" customHeight="false" outlineLevel="0" collapsed="false">
      <c r="A16" s="5" t="s">
        <v>1153</v>
      </c>
      <c r="B16" s="5" t="s">
        <v>1147</v>
      </c>
      <c r="C16" s="22" t="n">
        <v>90000</v>
      </c>
      <c r="D16" s="22" t="n">
        <v>90000</v>
      </c>
      <c r="E16" s="22" t="n">
        <v>90000</v>
      </c>
      <c r="F16" s="22" t="n">
        <v>90000</v>
      </c>
      <c r="G16" s="22" t="n">
        <v>90000</v>
      </c>
      <c r="H16" s="5" t="s">
        <v>1154</v>
      </c>
    </row>
    <row r="17" customFormat="false" ht="15" hidden="false" customHeight="false" outlineLevel="0" collapsed="false">
      <c r="A17" s="5" t="s">
        <v>1155</v>
      </c>
      <c r="B17" s="5" t="s">
        <v>1147</v>
      </c>
      <c r="C17" s="22" t="n">
        <v>40000</v>
      </c>
      <c r="D17" s="22" t="n">
        <v>35000</v>
      </c>
      <c r="E17" s="22" t="n">
        <v>45000</v>
      </c>
      <c r="F17" s="22" t="n">
        <v>50000</v>
      </c>
      <c r="G17" s="22" t="n">
        <v>45000</v>
      </c>
      <c r="H17" s="5" t="s">
        <v>1156</v>
      </c>
    </row>
    <row r="18" customFormat="false" ht="15" hidden="false" customHeight="false" outlineLevel="0" collapsed="false">
      <c r="A18" s="5" t="s">
        <v>1157</v>
      </c>
      <c r="B18" s="5" t="s">
        <v>1138</v>
      </c>
      <c r="C18" s="23" t="n">
        <v>0.15</v>
      </c>
      <c r="D18" s="23" t="n">
        <v>0.15</v>
      </c>
      <c r="E18" s="23" t="n">
        <v>0.15</v>
      </c>
      <c r="F18" s="23" t="n">
        <v>0.15</v>
      </c>
      <c r="G18" s="23" t="n">
        <v>0.15</v>
      </c>
      <c r="H18" s="5" t="s">
        <v>1158</v>
      </c>
    </row>
    <row r="19" customFormat="false" ht="15" hidden="false" customHeight="false" outlineLevel="0" collapsed="false">
      <c r="A19" s="5" t="s">
        <v>1159</v>
      </c>
      <c r="B19" s="5" t="s">
        <v>1138</v>
      </c>
      <c r="C19" s="23" t="n">
        <v>0.6</v>
      </c>
      <c r="D19" s="23" t="n">
        <v>0.6</v>
      </c>
      <c r="E19" s="23" t="n">
        <v>0.6</v>
      </c>
      <c r="F19" s="23" t="n">
        <v>0.6</v>
      </c>
      <c r="G19" s="23" t="n">
        <v>0.6</v>
      </c>
      <c r="H19" s="5" t="s">
        <v>1160</v>
      </c>
    </row>
    <row r="20" customFormat="false" ht="15" hidden="false" customHeight="false" outlineLevel="0" collapsed="false">
      <c r="A20" s="5" t="s">
        <v>1161</v>
      </c>
      <c r="B20" s="5" t="s">
        <v>1135</v>
      </c>
      <c r="C20" s="22" t="n">
        <v>40000</v>
      </c>
      <c r="D20" s="22" t="n">
        <v>35000</v>
      </c>
      <c r="E20" s="22" t="n">
        <v>30000</v>
      </c>
      <c r="F20" s="22" t="n">
        <v>45000</v>
      </c>
      <c r="G20" s="22" t="n">
        <v>30000</v>
      </c>
      <c r="H20" s="5" t="s">
        <v>1162</v>
      </c>
    </row>
    <row r="21" customFormat="false" ht="15" hidden="false" customHeight="false" outlineLevel="0" collapsed="false">
      <c r="A21" s="5" t="s">
        <v>1163</v>
      </c>
      <c r="B21" s="5" t="s">
        <v>1135</v>
      </c>
      <c r="C21" s="22" t="n">
        <v>18000</v>
      </c>
      <c r="D21" s="22" t="n">
        <v>18000</v>
      </c>
      <c r="E21" s="22" t="n">
        <v>18000</v>
      </c>
      <c r="F21" s="22" t="n">
        <v>18000</v>
      </c>
      <c r="G21" s="22" t="n">
        <v>18000</v>
      </c>
      <c r="H21" s="5" t="s">
        <v>1164</v>
      </c>
    </row>
    <row r="22" customFormat="false" ht="15" hidden="false" customHeight="false" outlineLevel="0" collapsed="false">
      <c r="A22" s="5" t="s">
        <v>1165</v>
      </c>
      <c r="B22" s="5" t="s">
        <v>1166</v>
      </c>
      <c r="C22" s="22" t="n">
        <v>0.85</v>
      </c>
      <c r="D22" s="22" t="n">
        <v>0.85</v>
      </c>
      <c r="E22" s="22" t="n">
        <v>0.85</v>
      </c>
      <c r="F22" s="22" t="n">
        <v>0.85</v>
      </c>
      <c r="G22" s="22" t="n">
        <v>0.85</v>
      </c>
      <c r="H22" s="5" t="s">
        <v>1167</v>
      </c>
    </row>
    <row r="23" customFormat="false" ht="15" hidden="false" customHeight="false" outlineLevel="0" collapsed="false">
      <c r="A23" s="5" t="s">
        <v>1168</v>
      </c>
      <c r="B23" s="5" t="s">
        <v>1166</v>
      </c>
      <c r="C23" s="22" t="n">
        <v>1.35</v>
      </c>
      <c r="D23" s="22" t="n">
        <v>1.35</v>
      </c>
      <c r="E23" s="22" t="n">
        <v>1.35</v>
      </c>
      <c r="F23" s="22" t="n">
        <v>1.35</v>
      </c>
      <c r="G23" s="22" t="n">
        <v>1.35</v>
      </c>
      <c r="H23" s="5" t="s">
        <v>1169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8"/>
    <col collapsed="false" customWidth="true" hidden="false" outlineLevel="0" max="7" min="3" style="0" width="20"/>
  </cols>
  <sheetData>
    <row r="1" customFormat="false" ht="15" hidden="false" customHeight="false" outlineLevel="0" collapsed="false">
      <c r="A1" s="24" t="s">
        <v>1170</v>
      </c>
      <c r="B1" s="24" t="s">
        <v>1171</v>
      </c>
      <c r="C1" s="24" t="s">
        <v>1107</v>
      </c>
      <c r="D1" s="24" t="s">
        <v>1116</v>
      </c>
      <c r="E1" s="24" t="s">
        <v>1108</v>
      </c>
      <c r="F1" s="24" t="s">
        <v>968</v>
      </c>
      <c r="G1" s="24" t="s">
        <v>977</v>
      </c>
    </row>
    <row r="2" customFormat="false" ht="15" hidden="false" customHeight="false" outlineLevel="0" collapsed="false">
      <c r="A2" s="5" t="s">
        <v>1172</v>
      </c>
      <c r="B2" s="5" t="s">
        <v>1173</v>
      </c>
      <c r="C2" s="25" t="n">
        <f aca="false">(7_TCO_Annahmen!C2*(7_TCO_Annahmen!C5+7_TCO_Annahmen!C8)+7_TCO_Annahmen!C3*7_TCO_Annahmen!C6+7_TCO_Annahmen!C4*7_TCO_Annahmen!C7)*12+7_TCO_Annahmen!C9</f>
        <v>204300</v>
      </c>
      <c r="D2" s="25" t="n">
        <f aca="false">(7_TCO_Annahmen!D2*(7_TCO_Annahmen!D5+7_TCO_Annahmen!D8)+7_TCO_Annahmen!D3*7_TCO_Annahmen!D6+7_TCO_Annahmen!D4*7_TCO_Annahmen!D7)*12+7_TCO_Annahmen!D9</f>
        <v>182700</v>
      </c>
      <c r="E2" s="25" t="n">
        <f aca="false">(7_TCO_Annahmen!E2*(7_TCO_Annahmen!E5+7_TCO_Annahmen!E8)+7_TCO_Annahmen!E3*7_TCO_Annahmen!E6+7_TCO_Annahmen!E4*7_TCO_Annahmen!E7)*12+7_TCO_Annahmen!E9</f>
        <v>285000</v>
      </c>
      <c r="F2" s="25" t="n">
        <f aca="false">(7_TCO_Annahmen!F2*(7_TCO_Annahmen!F5+7_TCO_Annahmen!F8)+7_TCO_Annahmen!F3*7_TCO_Annahmen!F6+7_TCO_Annahmen!F4*7_TCO_Annahmen!F7)*12+7_TCO_Annahmen!F9</f>
        <v>325200</v>
      </c>
      <c r="G2" s="25" t="n">
        <f aca="false">(7_TCO_Annahmen!G2*(7_TCO_Annahmen!G5+7_TCO_Annahmen!G8)+7_TCO_Annahmen!G3*7_TCO_Annahmen!G6+7_TCO_Annahmen!G4*7_TCO_Annahmen!G7)*12+7_TCO_Annahmen!G9</f>
        <v>250800</v>
      </c>
    </row>
    <row r="3" customFormat="false" ht="28.35" hidden="false" customHeight="false" outlineLevel="0" collapsed="false">
      <c r="A3" s="5" t="s">
        <v>1174</v>
      </c>
      <c r="B3" s="5" t="s">
        <v>1175</v>
      </c>
      <c r="C3" s="25" t="n">
        <f aca="false">7_TCO_Annahmen!C11*7_TCO_Annahmen!C12+7_TCO_Annahmen!C13+7_TCO_Annahmen!C14+7_TCO_Annahmen!C15+7_TCO_Annahmen!C16+7_TCO_Annahmen!C17</f>
        <v>1213000</v>
      </c>
      <c r="D3" s="25" t="n">
        <f aca="false">7_TCO_Annahmen!D11*7_TCO_Annahmen!D12+7_TCO_Annahmen!D13+7_TCO_Annahmen!D14+7_TCO_Annahmen!D15+7_TCO_Annahmen!D16+7_TCO_Annahmen!D17</f>
        <v>1024500</v>
      </c>
      <c r="E3" s="25" t="n">
        <f aca="false">7_TCO_Annahmen!E11*7_TCO_Annahmen!E12+7_TCO_Annahmen!E13+7_TCO_Annahmen!E14+7_TCO_Annahmen!E15+7_TCO_Annahmen!E16+7_TCO_Annahmen!E17</f>
        <v>1472500</v>
      </c>
      <c r="F3" s="25" t="n">
        <f aca="false">7_TCO_Annahmen!F11*7_TCO_Annahmen!F12+7_TCO_Annahmen!F13+7_TCO_Annahmen!F14+7_TCO_Annahmen!F15+7_TCO_Annahmen!F16+7_TCO_Annahmen!F17</f>
        <v>1805000</v>
      </c>
      <c r="G3" s="25" t="n">
        <f aca="false">7_TCO_Annahmen!G11*7_TCO_Annahmen!G12+7_TCO_Annahmen!G13+7_TCO_Annahmen!G14+7_TCO_Annahmen!G15+7_TCO_Annahmen!G16+7_TCO_Annahmen!G17</f>
        <v>1385000</v>
      </c>
    </row>
    <row r="4" customFormat="false" ht="15" hidden="false" customHeight="false" outlineLevel="0" collapsed="false">
      <c r="A4" s="5" t="s">
        <v>1176</v>
      </c>
      <c r="B4" s="5" t="s">
        <v>1177</v>
      </c>
      <c r="C4" s="25" t="n">
        <f aca="false">7_TCO_Annahmen!C11*7_TCO_Annahmen!C12</f>
        <v>483000</v>
      </c>
      <c r="D4" s="25" t="n">
        <f aca="false">7_TCO_Annahmen!D11*7_TCO_Annahmen!D12</f>
        <v>379500</v>
      </c>
      <c r="E4" s="25" t="n">
        <f aca="false">7_TCO_Annahmen!E11*7_TCO_Annahmen!E12</f>
        <v>687500</v>
      </c>
      <c r="F4" s="25" t="n">
        <f aca="false">7_TCO_Annahmen!F11*7_TCO_Annahmen!F12</f>
        <v>945000</v>
      </c>
      <c r="G4" s="25" t="n">
        <f aca="false">7_TCO_Annahmen!G11*7_TCO_Annahmen!G12</f>
        <v>600000</v>
      </c>
    </row>
    <row r="5" customFormat="false" ht="15" hidden="false" customHeight="false" outlineLevel="0" collapsed="false">
      <c r="A5" s="5" t="s">
        <v>1178</v>
      </c>
      <c r="B5" s="5" t="s">
        <v>1179</v>
      </c>
      <c r="C5" s="25" t="n">
        <f aca="false">C3*7_TCO_Annahmen!C18</f>
        <v>181950</v>
      </c>
      <c r="D5" s="25" t="n">
        <f aca="false">D3*7_TCO_Annahmen!D18</f>
        <v>153675</v>
      </c>
      <c r="E5" s="25" t="n">
        <f aca="false">E3*7_TCO_Annahmen!E18</f>
        <v>220875</v>
      </c>
      <c r="F5" s="25" t="n">
        <f aca="false">F3*7_TCO_Annahmen!F18</f>
        <v>270750</v>
      </c>
      <c r="G5" s="25" t="n">
        <f aca="false">G3*7_TCO_Annahmen!G18</f>
        <v>207750</v>
      </c>
    </row>
    <row r="6" customFormat="false" ht="15" hidden="false" customHeight="false" outlineLevel="0" collapsed="false">
      <c r="A6" s="5" t="s">
        <v>1180</v>
      </c>
      <c r="B6" s="5" t="s">
        <v>1181</v>
      </c>
      <c r="C6" s="25" t="n">
        <f aca="false">C2*(7_TCO_Annahmen!C10+4)</f>
        <v>898920</v>
      </c>
      <c r="D6" s="25" t="n">
        <f aca="false">D2*(7_TCO_Annahmen!D10+4)</f>
        <v>803880</v>
      </c>
      <c r="E6" s="25" t="n">
        <f aca="false">E2*(7_TCO_Annahmen!E10+4)</f>
        <v>1254000</v>
      </c>
      <c r="F6" s="25" t="n">
        <f aca="false">F2*(7_TCO_Annahmen!F10+4)</f>
        <v>1430880</v>
      </c>
      <c r="G6" s="25" t="n">
        <f aca="false">G2*(7_TCO_Annahmen!G10+4)</f>
        <v>1103520</v>
      </c>
    </row>
    <row r="7" customFormat="false" ht="15" hidden="false" customHeight="false" outlineLevel="0" collapsed="false">
      <c r="A7" s="5" t="s">
        <v>1182</v>
      </c>
      <c r="B7" s="5" t="s">
        <v>1183</v>
      </c>
      <c r="C7" s="25" t="n">
        <f aca="false">7_TCO_Annahmen!C20*4.5+7_TCO_Annahmen!C21*5</f>
        <v>270000</v>
      </c>
      <c r="D7" s="25" t="n">
        <f aca="false">7_TCO_Annahmen!D20*4.5+7_TCO_Annahmen!D21*5</f>
        <v>247500</v>
      </c>
      <c r="E7" s="25" t="n">
        <f aca="false">7_TCO_Annahmen!E20*4.5+7_TCO_Annahmen!E21*5</f>
        <v>225000</v>
      </c>
      <c r="F7" s="25" t="n">
        <f aca="false">7_TCO_Annahmen!F20*4.5+7_TCO_Annahmen!F21*5</f>
        <v>292500</v>
      </c>
      <c r="G7" s="25" t="n">
        <f aca="false">7_TCO_Annahmen!G20*4.5+7_TCO_Annahmen!G21*5</f>
        <v>225000</v>
      </c>
    </row>
    <row r="8" customFormat="false" ht="15" hidden="false" customHeight="false" outlineLevel="0" collapsed="false">
      <c r="A8" s="5" t="s">
        <v>1184</v>
      </c>
      <c r="B8" s="5"/>
      <c r="C8" s="25" t="n">
        <f aca="false">C3+C5</f>
        <v>1394950</v>
      </c>
      <c r="D8" s="25" t="n">
        <f aca="false">D3+D5</f>
        <v>1178175</v>
      </c>
      <c r="E8" s="25" t="n">
        <f aca="false">E3+E5</f>
        <v>1693375</v>
      </c>
      <c r="F8" s="25" t="n">
        <f aca="false">F3+F5</f>
        <v>2075750</v>
      </c>
      <c r="G8" s="25" t="n">
        <f aca="false">G3+G5</f>
        <v>1592750</v>
      </c>
    </row>
    <row r="9" customFormat="false" ht="15" hidden="false" customHeight="false" outlineLevel="0" collapsed="false">
      <c r="A9" s="16" t="s">
        <v>1185</v>
      </c>
      <c r="B9" s="16" t="s">
        <v>1186</v>
      </c>
      <c r="C9" s="26" t="n">
        <f aca="false">C6+C7+C8</f>
        <v>2563870</v>
      </c>
      <c r="D9" s="26" t="n">
        <f aca="false">D6+D7+D8</f>
        <v>2229555</v>
      </c>
      <c r="E9" s="26" t="n">
        <f aca="false">E6+E7+E8</f>
        <v>3172375</v>
      </c>
      <c r="F9" s="26" t="n">
        <f aca="false">F6+F7+F8</f>
        <v>3799130</v>
      </c>
      <c r="G9" s="26" t="n">
        <f aca="false">G6+G7+G8</f>
        <v>2921270</v>
      </c>
    </row>
    <row r="10" customFormat="false" ht="15" hidden="false" customHeight="false" outlineLevel="0" collapsed="false">
      <c r="A10" s="5" t="s">
        <v>1187</v>
      </c>
      <c r="B10" s="5" t="s">
        <v>1188</v>
      </c>
      <c r="C10" s="27" t="n">
        <f aca="false">C9/5/82700000</f>
        <v>0.00620041112454655</v>
      </c>
      <c r="D10" s="27" t="n">
        <f aca="false">D9/5/82700000</f>
        <v>0.00539191051995163</v>
      </c>
      <c r="E10" s="27" t="n">
        <f aca="false">E9/5/82700000</f>
        <v>0.00767200725513906</v>
      </c>
      <c r="F10" s="27" t="n">
        <f aca="false">F9/5/82700000</f>
        <v>0.00918773881499395</v>
      </c>
      <c r="G10" s="27" t="n">
        <f aca="false">G9/5/82700000</f>
        <v>0.0070647400241838</v>
      </c>
    </row>
    <row r="11" customFormat="false" ht="15" hidden="false" customHeight="false" outlineLevel="0" collapsed="false">
      <c r="A11" s="5" t="s">
        <v>1189</v>
      </c>
      <c r="B11" s="5" t="s">
        <v>1190</v>
      </c>
      <c r="C11" s="25" t="n">
        <f aca="false">C9-1200000</f>
        <v>1363870</v>
      </c>
      <c r="D11" s="25" t="n">
        <f aca="false">D9-1200000</f>
        <v>1029555</v>
      </c>
      <c r="E11" s="25" t="n">
        <f aca="false">E9-1200000</f>
        <v>1972375</v>
      </c>
      <c r="F11" s="25" t="n">
        <f aca="false">F9-1200000</f>
        <v>2599130</v>
      </c>
      <c r="G11" s="25" t="n">
        <f aca="false">G9-1200000</f>
        <v>1721270</v>
      </c>
    </row>
    <row r="12" customFormat="false" ht="15" hidden="false" customHeight="false" outlineLevel="0" collapsed="false">
      <c r="A12" s="5" t="s">
        <v>1191</v>
      </c>
      <c r="B12" s="5" t="s">
        <v>1192</v>
      </c>
      <c r="C12" s="25" t="n">
        <f aca="false">C9-1500000</f>
        <v>1063870</v>
      </c>
      <c r="D12" s="25" t="n">
        <f aca="false">D9-1500000</f>
        <v>729555</v>
      </c>
      <c r="E12" s="25" t="n">
        <f aca="false">E9-1500000</f>
        <v>1672375</v>
      </c>
      <c r="F12" s="25" t="n">
        <f aca="false">F9-1500000</f>
        <v>2299130</v>
      </c>
      <c r="G12" s="25" t="n">
        <f aca="false">G9-1500000</f>
        <v>1421270</v>
      </c>
    </row>
    <row r="13" customFormat="false" ht="28.35" hidden="false" customHeight="false" outlineLevel="0" collapsed="false">
      <c r="A13" s="5" t="s">
        <v>1193</v>
      </c>
      <c r="B13" s="5" t="s">
        <v>1194</v>
      </c>
      <c r="C13" s="25" t="n">
        <f aca="false">C8+C2*(7_TCO_Annahmen!C10+2)</f>
        <v>1885270</v>
      </c>
      <c r="D13" s="25" t="n">
        <f aca="false">D8+D2*(7_TCO_Annahmen!D10+2)</f>
        <v>1616655</v>
      </c>
      <c r="E13" s="25" t="n">
        <f aca="false">E8+E2*(7_TCO_Annahmen!E10+2)</f>
        <v>2377375</v>
      </c>
      <c r="F13" s="25" t="n">
        <f aca="false">F8+F2*(7_TCO_Annahmen!F10+2)</f>
        <v>2856230</v>
      </c>
      <c r="G13" s="25" t="n">
        <f aca="false">G8+G2*(7_TCO_Annahmen!G10+2)</f>
        <v>2194670</v>
      </c>
    </row>
    <row r="14" customFormat="false" ht="15" hidden="false" customHeight="false" outlineLevel="0" collapsed="false">
      <c r="A14" s="5" t="s">
        <v>1195</v>
      </c>
      <c r="B14" s="5" t="s">
        <v>1196</v>
      </c>
      <c r="C14" s="25" t="n">
        <f aca="false">C9/(230*60)</f>
        <v>185.78768115942</v>
      </c>
      <c r="D14" s="25" t="n">
        <f aca="false">D9/(230*60)</f>
        <v>161.561956521739</v>
      </c>
      <c r="E14" s="25" t="n">
        <f aca="false">E9/(230*60)</f>
        <v>229.882246376812</v>
      </c>
      <c r="F14" s="25" t="n">
        <f aca="false">F9/(230*60)</f>
        <v>275.299275362319</v>
      </c>
      <c r="G14" s="25" t="n">
        <f aca="false">G9/(230*60)</f>
        <v>211.686231884058</v>
      </c>
    </row>
    <row r="15" customFormat="false" ht="15" hidden="false" customHeight="false" outlineLevel="0" collapsed="false">
      <c r="A15" s="5" t="s">
        <v>1197</v>
      </c>
      <c r="B15" s="5" t="s">
        <v>1198</v>
      </c>
      <c r="C15" s="25" t="n">
        <f aca="false">C9*7_TCO_Annahmen!C22</f>
        <v>2179289.5</v>
      </c>
      <c r="D15" s="25" t="n">
        <f aca="false">D9*7_TCO_Annahmen!D22</f>
        <v>1895121.75</v>
      </c>
      <c r="E15" s="25" t="n">
        <f aca="false">E9*7_TCO_Annahmen!E22</f>
        <v>2696518.75</v>
      </c>
      <c r="F15" s="25" t="n">
        <f aca="false">F9*7_TCO_Annahmen!F22</f>
        <v>3229260.5</v>
      </c>
      <c r="G15" s="25" t="n">
        <f aca="false">G9*7_TCO_Annahmen!G22</f>
        <v>2483079.5</v>
      </c>
    </row>
    <row r="16" customFormat="false" ht="15" hidden="false" customHeight="false" outlineLevel="0" collapsed="false">
      <c r="A16" s="5" t="s">
        <v>1199</v>
      </c>
      <c r="B16" s="5" t="s">
        <v>1200</v>
      </c>
      <c r="C16" s="25" t="n">
        <f aca="false">C9*7_TCO_Annahmen!C23</f>
        <v>3461224.5</v>
      </c>
      <c r="D16" s="25" t="n">
        <f aca="false">D9*7_TCO_Annahmen!D23</f>
        <v>3009899.25</v>
      </c>
      <c r="E16" s="25" t="n">
        <f aca="false">E9*7_TCO_Annahmen!E23</f>
        <v>4282706.25</v>
      </c>
      <c r="F16" s="25" t="n">
        <f aca="false">F9*7_TCO_Annahmen!F23</f>
        <v>5128825.5</v>
      </c>
      <c r="G16" s="25" t="n">
        <f aca="false">G9*7_TCO_Annahmen!G23</f>
        <v>3943714.5</v>
      </c>
    </row>
    <row r="17" customFormat="false" ht="15" hidden="false" customHeight="false" outlineLevel="0" collapsed="false">
      <c r="A17" s="5"/>
      <c r="B17" s="5"/>
      <c r="C17" s="25"/>
      <c r="D17" s="25"/>
      <c r="E17" s="25"/>
      <c r="F17" s="25"/>
      <c r="G17" s="25"/>
    </row>
    <row r="18" customFormat="false" ht="28.35" hidden="false" customHeight="false" outlineLevel="0" collapsed="false">
      <c r="A18" s="28" t="s">
        <v>1201</v>
      </c>
      <c r="B18" s="28" t="s">
        <v>1202</v>
      </c>
      <c r="C18" s="29" t="s">
        <v>1107</v>
      </c>
      <c r="D18" s="29" t="s">
        <v>1116</v>
      </c>
      <c r="E18" s="29" t="s">
        <v>1108</v>
      </c>
      <c r="F18" s="29" t="s">
        <v>968</v>
      </c>
      <c r="G18" s="29" t="s">
        <v>977</v>
      </c>
    </row>
    <row r="19" customFormat="false" ht="15" hidden="false" customHeight="false" outlineLevel="0" collapsed="false">
      <c r="A19" s="5" t="s">
        <v>1203</v>
      </c>
      <c r="B19" s="5" t="n">
        <v>2027</v>
      </c>
      <c r="C19" s="25" t="n">
        <f aca="false">C2*7_TCO_Annahmen!C10+C8*7_TCO_Annahmen!C19+7_TCO_Annahmen!C20*0.5+7_TCO_Annahmen!C21</f>
        <v>956690</v>
      </c>
      <c r="D19" s="25" t="n">
        <f aca="false">D2*7_TCO_Annahmen!D10+D8*7_TCO_Annahmen!D19+7_TCO_Annahmen!D20*0.5+7_TCO_Annahmen!D21</f>
        <v>815485</v>
      </c>
      <c r="E19" s="25" t="n">
        <f aca="false">E2*7_TCO_Annahmen!E10+E8*7_TCO_Annahmen!E19+7_TCO_Annahmen!E20*0.5+7_TCO_Annahmen!E21</f>
        <v>1163025</v>
      </c>
      <c r="F19" s="25" t="n">
        <f aca="false">F2*7_TCO_Annahmen!F10+F8*7_TCO_Annahmen!F19+7_TCO_Annahmen!F20*0.5+7_TCO_Annahmen!F21</f>
        <v>1416030</v>
      </c>
      <c r="G19" s="25" t="n">
        <f aca="false">G2*7_TCO_Annahmen!G10+G8*7_TCO_Annahmen!G19+7_TCO_Annahmen!G20*0.5+7_TCO_Annahmen!G21</f>
        <v>1088970</v>
      </c>
    </row>
    <row r="20" customFormat="false" ht="15" hidden="false" customHeight="false" outlineLevel="0" collapsed="false">
      <c r="A20" s="5" t="s">
        <v>1204</v>
      </c>
      <c r="B20" s="5" t="n">
        <v>2028</v>
      </c>
      <c r="C20" s="25" t="n">
        <f aca="false">C2+C8*(1-7_TCO_Annahmen!C19)+7_TCO_Annahmen!C20*1+7_TCO_Annahmen!C21</f>
        <v>820280</v>
      </c>
      <c r="D20" s="25" t="n">
        <f aca="false">D2+D8*(1-7_TCO_Annahmen!D19)+7_TCO_Annahmen!D20*1+7_TCO_Annahmen!D21</f>
        <v>706970</v>
      </c>
      <c r="E20" s="25" t="n">
        <f aca="false">E2+E8*(1-7_TCO_Annahmen!E19)+7_TCO_Annahmen!E20*1+7_TCO_Annahmen!E21</f>
        <v>1010350</v>
      </c>
      <c r="F20" s="25" t="n">
        <f aca="false">F2+F8*(1-7_TCO_Annahmen!F19)+7_TCO_Annahmen!F20*1+7_TCO_Annahmen!F21</f>
        <v>1218500</v>
      </c>
      <c r="G20" s="25" t="n">
        <f aca="false">G2+G8*(1-7_TCO_Annahmen!G19)+7_TCO_Annahmen!G20*1+7_TCO_Annahmen!G21</f>
        <v>935900</v>
      </c>
    </row>
    <row r="21" customFormat="false" ht="15" hidden="false" customHeight="false" outlineLevel="0" collapsed="false">
      <c r="A21" s="5" t="s">
        <v>1205</v>
      </c>
      <c r="B21" s="5" t="n">
        <v>2029</v>
      </c>
      <c r="C21" s="25" t="n">
        <f aca="false">C2+0+7_TCO_Annahmen!C20*1+7_TCO_Annahmen!C21</f>
        <v>262300</v>
      </c>
      <c r="D21" s="25" t="n">
        <f aca="false">D2+0+7_TCO_Annahmen!D20*1+7_TCO_Annahmen!D21</f>
        <v>235700</v>
      </c>
      <c r="E21" s="25" t="n">
        <f aca="false">E2+0+7_TCO_Annahmen!E20*1+7_TCO_Annahmen!E21</f>
        <v>333000</v>
      </c>
      <c r="F21" s="25" t="n">
        <f aca="false">F2+0+7_TCO_Annahmen!F20*1+7_TCO_Annahmen!F21</f>
        <v>388200</v>
      </c>
      <c r="G21" s="25" t="n">
        <f aca="false">G2+0+7_TCO_Annahmen!G20*1+7_TCO_Annahmen!G21</f>
        <v>298800</v>
      </c>
    </row>
    <row r="22" customFormat="false" ht="15" hidden="false" customHeight="false" outlineLevel="0" collapsed="false">
      <c r="A22" s="5" t="s">
        <v>1206</v>
      </c>
      <c r="B22" s="5" t="n">
        <v>2030</v>
      </c>
      <c r="C22" s="25" t="n">
        <f aca="false">C2+0+7_TCO_Annahmen!C20*1+7_TCO_Annahmen!C21</f>
        <v>262300</v>
      </c>
      <c r="D22" s="25" t="n">
        <f aca="false">D2+0+7_TCO_Annahmen!D20*1+7_TCO_Annahmen!D21</f>
        <v>235700</v>
      </c>
      <c r="E22" s="25" t="n">
        <f aca="false">E2+0+7_TCO_Annahmen!E20*1+7_TCO_Annahmen!E21</f>
        <v>333000</v>
      </c>
      <c r="F22" s="25" t="n">
        <f aca="false">F2+0+7_TCO_Annahmen!F20*1+7_TCO_Annahmen!F21</f>
        <v>388200</v>
      </c>
      <c r="G22" s="25" t="n">
        <f aca="false">G2+0+7_TCO_Annahmen!G20*1+7_TCO_Annahmen!G21</f>
        <v>298800</v>
      </c>
    </row>
    <row r="23" customFormat="false" ht="15" hidden="false" customHeight="false" outlineLevel="0" collapsed="false">
      <c r="A23" s="5" t="s">
        <v>1207</v>
      </c>
      <c r="B23" s="5" t="n">
        <v>2031</v>
      </c>
      <c r="C23" s="25" t="n">
        <f aca="false">C2+0+7_TCO_Annahmen!C20*1+7_TCO_Annahmen!C21</f>
        <v>262300</v>
      </c>
      <c r="D23" s="25" t="n">
        <f aca="false">D2+0+7_TCO_Annahmen!D20*1+7_TCO_Annahmen!D21</f>
        <v>235700</v>
      </c>
      <c r="E23" s="25" t="n">
        <f aca="false">E2+0+7_TCO_Annahmen!E20*1+7_TCO_Annahmen!E21</f>
        <v>333000</v>
      </c>
      <c r="F23" s="25" t="n">
        <f aca="false">F2+0+7_TCO_Annahmen!F20*1+7_TCO_Annahmen!F21</f>
        <v>388200</v>
      </c>
      <c r="G23" s="25" t="n">
        <f aca="false">G2+0+7_TCO_Annahmen!G20*1+7_TCO_Annahmen!G21</f>
        <v>298800</v>
      </c>
    </row>
    <row r="24" customFormat="false" ht="15" hidden="false" customHeight="false" outlineLevel="0" collapsed="false">
      <c r="A24" s="5" t="s">
        <v>1208</v>
      </c>
      <c r="B24" s="5"/>
      <c r="C24" s="25" t="n">
        <f aca="false">SUM(C19:C23)</f>
        <v>2563870</v>
      </c>
      <c r="D24" s="25" t="n">
        <f aca="false">SUM(D19:D23)</f>
        <v>2229555</v>
      </c>
      <c r="E24" s="25" t="n">
        <f aca="false">SUM(E19:E23)</f>
        <v>3172375</v>
      </c>
      <c r="F24" s="25" t="n">
        <f aca="false">SUM(F19:F23)</f>
        <v>3799130</v>
      </c>
      <c r="G24" s="25" t="n">
        <f aca="false">SUM(G19:G23)</f>
        <v>2921270</v>
      </c>
    </row>
    <row r="26" customFormat="false" ht="15" hidden="false" customHeight="false" outlineLevel="0" collapsed="false">
      <c r="A26" s="30" t="s">
        <v>1209</v>
      </c>
    </row>
    <row r="27" customFormat="false" ht="15" hidden="false" customHeight="false" outlineLevel="0" collapsed="false">
      <c r="A27" s="31" t="s">
        <v>1210</v>
      </c>
    </row>
    <row r="28" customFormat="false" ht="15" hidden="false" customHeight="false" outlineLevel="0" collapsed="false">
      <c r="A28" s="30" t="s">
        <v>1211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3"/>
    <col collapsed="false" customWidth="true" hidden="false" outlineLevel="0" max="5" min="4" style="0" width="40"/>
  </cols>
  <sheetData>
    <row r="1" customFormat="false" ht="28.35" hidden="false" customHeight="false" outlineLevel="0" collapsed="false">
      <c r="A1" s="4" t="s">
        <v>1212</v>
      </c>
      <c r="B1" s="4" t="s">
        <v>1213</v>
      </c>
      <c r="C1" s="4" t="s">
        <v>1214</v>
      </c>
      <c r="D1" s="4" t="s">
        <v>359</v>
      </c>
      <c r="E1" s="4" t="s">
        <v>1215</v>
      </c>
    </row>
    <row r="2" customFormat="false" ht="15" hidden="false" customHeight="false" outlineLevel="0" collapsed="false">
      <c r="A2" s="5" t="s">
        <v>1216</v>
      </c>
      <c r="B2" s="5" t="n">
        <v>150</v>
      </c>
      <c r="C2" s="5" t="n">
        <v>200</v>
      </c>
      <c r="D2" s="5" t="s">
        <v>1217</v>
      </c>
      <c r="E2" s="5" t="s">
        <v>1218</v>
      </c>
    </row>
    <row r="3" customFormat="false" ht="15" hidden="false" customHeight="false" outlineLevel="0" collapsed="false">
      <c r="A3" s="5" t="s">
        <v>1219</v>
      </c>
      <c r="B3" s="5" t="n">
        <v>150</v>
      </c>
      <c r="C3" s="5" t="n">
        <v>250</v>
      </c>
      <c r="D3" s="5" t="s">
        <v>1220</v>
      </c>
      <c r="E3" s="5" t="s">
        <v>1221</v>
      </c>
    </row>
    <row r="4" customFormat="false" ht="15" hidden="false" customHeight="false" outlineLevel="0" collapsed="false">
      <c r="A4" s="5" t="s">
        <v>1222</v>
      </c>
      <c r="B4" s="5" t="n">
        <v>130</v>
      </c>
      <c r="C4" s="5" t="n">
        <v>195</v>
      </c>
      <c r="D4" s="5" t="s">
        <v>1223</v>
      </c>
      <c r="E4" s="5" t="s">
        <v>1224</v>
      </c>
    </row>
    <row r="5" customFormat="false" ht="15" hidden="false" customHeight="false" outlineLevel="0" collapsed="false">
      <c r="A5" s="5" t="s">
        <v>1225</v>
      </c>
      <c r="B5" s="5" t="n">
        <v>80</v>
      </c>
      <c r="C5" s="5" t="n">
        <v>160</v>
      </c>
      <c r="D5" s="5" t="s">
        <v>1226</v>
      </c>
      <c r="E5" s="5" t="s">
        <v>1227</v>
      </c>
    </row>
    <row r="6" customFormat="false" ht="15" hidden="false" customHeight="false" outlineLevel="0" collapsed="false">
      <c r="A6" s="5" t="s">
        <v>1228</v>
      </c>
      <c r="B6" s="5" t="n">
        <v>30</v>
      </c>
      <c r="C6" s="5" t="n">
        <v>60</v>
      </c>
      <c r="D6" s="5" t="s">
        <v>1229</v>
      </c>
      <c r="E6" s="5" t="s">
        <v>1230</v>
      </c>
    </row>
    <row r="7" customFormat="false" ht="15" hidden="false" customHeight="false" outlineLevel="0" collapsed="false">
      <c r="A7" s="5" t="s">
        <v>1231</v>
      </c>
      <c r="B7" s="5" t="n">
        <v>0</v>
      </c>
      <c r="C7" s="5" t="n">
        <v>68</v>
      </c>
      <c r="D7" s="5" t="s">
        <v>1232</v>
      </c>
      <c r="E7" s="5" t="s">
        <v>1233</v>
      </c>
    </row>
    <row r="8" customFormat="false" ht="15" hidden="false" customHeight="false" outlineLevel="0" collapsed="false">
      <c r="A8" s="32" t="s">
        <v>1234</v>
      </c>
      <c r="B8" s="32" t="n">
        <f aca="false">SUM(B2:B7)</f>
        <v>540</v>
      </c>
      <c r="C8" s="32" t="n">
        <f aca="false">SUM(C2:C7)</f>
        <v>933</v>
      </c>
      <c r="D8" s="32"/>
      <c r="E8" s="32" t="s">
        <v>1235</v>
      </c>
    </row>
    <row r="9" customFormat="false" ht="15" hidden="false" customHeight="false" outlineLevel="0" collapsed="false">
      <c r="A9" s="32" t="s">
        <v>1236</v>
      </c>
      <c r="B9" s="32" t="n">
        <f aca="false">B8*3</f>
        <v>1620</v>
      </c>
      <c r="C9" s="32" t="n">
        <f aca="false">C8*3</f>
        <v>2799</v>
      </c>
      <c r="D9" s="32"/>
      <c r="E9" s="32" t="s">
        <v>1237</v>
      </c>
    </row>
    <row r="10" customFormat="false" ht="15" hidden="false" customHeight="false" outlineLevel="0" collapsed="false">
      <c r="A10" s="0" t="s">
        <v>1238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0"/>
    <col collapsed="false" customWidth="true" hidden="false" outlineLevel="0" max="3" min="3" style="0" width="26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4" t="s">
        <v>22</v>
      </c>
      <c r="B1" s="4" t="s">
        <v>1239</v>
      </c>
      <c r="C1" s="4" t="s">
        <v>1240</v>
      </c>
      <c r="D1" s="4" t="s">
        <v>1241</v>
      </c>
    </row>
    <row r="2" customFormat="false" ht="15" hidden="false" customHeight="false" outlineLevel="0" collapsed="false">
      <c r="A2" s="5" t="s">
        <v>1058</v>
      </c>
      <c r="B2" s="5" t="s">
        <v>1242</v>
      </c>
      <c r="C2" s="5" t="s">
        <v>1059</v>
      </c>
      <c r="D2" s="5" t="s">
        <v>1243</v>
      </c>
    </row>
    <row r="3" customFormat="false" ht="28.35" hidden="false" customHeight="false" outlineLevel="0" collapsed="false">
      <c r="A3" s="5" t="s">
        <v>1244</v>
      </c>
      <c r="B3" s="5" t="s">
        <v>1245</v>
      </c>
      <c r="C3" s="5" t="s">
        <v>1246</v>
      </c>
      <c r="D3" s="5" t="s">
        <v>1247</v>
      </c>
    </row>
    <row r="4" customFormat="false" ht="41.75" hidden="false" customHeight="false" outlineLevel="0" collapsed="false">
      <c r="A4" s="5" t="s">
        <v>1248</v>
      </c>
      <c r="B4" s="5" t="s">
        <v>1249</v>
      </c>
      <c r="C4" s="5" t="s">
        <v>1246</v>
      </c>
      <c r="D4" s="5" t="s">
        <v>1250</v>
      </c>
    </row>
    <row r="5" customFormat="false" ht="28.35" hidden="false" customHeight="false" outlineLevel="0" collapsed="false">
      <c r="A5" s="5" t="s">
        <v>1011</v>
      </c>
      <c r="B5" s="5" t="s">
        <v>1251</v>
      </c>
      <c r="C5" s="5" t="s">
        <v>1246</v>
      </c>
      <c r="D5" s="5" t="s">
        <v>1252</v>
      </c>
    </row>
    <row r="6" customFormat="false" ht="15" hidden="false" customHeight="false" outlineLevel="0" collapsed="false">
      <c r="A6" s="5" t="s">
        <v>1253</v>
      </c>
      <c r="B6" s="5" t="s">
        <v>1254</v>
      </c>
      <c r="C6" s="5" t="s">
        <v>1255</v>
      </c>
      <c r="D6" s="5" t="s">
        <v>1256</v>
      </c>
    </row>
    <row r="7" customFormat="false" ht="28.35" hidden="false" customHeight="false" outlineLevel="0" collapsed="false">
      <c r="A7" s="5" t="s">
        <v>1257</v>
      </c>
      <c r="B7" s="5" t="s">
        <v>1258</v>
      </c>
      <c r="C7" s="5" t="s">
        <v>1259</v>
      </c>
      <c r="D7" s="5" t="s">
        <v>1260</v>
      </c>
    </row>
    <row r="8" customFormat="false" ht="28.35" hidden="false" customHeight="false" outlineLevel="0" collapsed="false">
      <c r="A8" s="5" t="s">
        <v>1261</v>
      </c>
      <c r="B8" s="5" t="s">
        <v>1262</v>
      </c>
      <c r="C8" s="5" t="s">
        <v>1263</v>
      </c>
      <c r="D8" s="5" t="s">
        <v>1264</v>
      </c>
    </row>
    <row r="9" customFormat="false" ht="15" hidden="false" customHeight="false" outlineLevel="0" collapsed="false">
      <c r="A9" s="5" t="s">
        <v>1265</v>
      </c>
      <c r="B9" s="5" t="s">
        <v>1266</v>
      </c>
      <c r="C9" s="5" t="s">
        <v>1259</v>
      </c>
      <c r="D9" s="5" t="s">
        <v>1267</v>
      </c>
    </row>
    <row r="10" customFormat="false" ht="15" hidden="false" customHeight="false" outlineLevel="0" collapsed="false">
      <c r="A10" s="5" t="s">
        <v>1268</v>
      </c>
      <c r="B10" s="5" t="s">
        <v>1269</v>
      </c>
      <c r="C10" s="5" t="s">
        <v>1246</v>
      </c>
      <c r="D10" s="5" t="s">
        <v>1270</v>
      </c>
    </row>
    <row r="11" customFormat="false" ht="28.35" hidden="false" customHeight="false" outlineLevel="0" collapsed="false">
      <c r="A11" s="5" t="s">
        <v>1271</v>
      </c>
      <c r="B11" s="5" t="s">
        <v>1272</v>
      </c>
      <c r="C11" s="5" t="s">
        <v>1273</v>
      </c>
      <c r="D11" s="5" t="s">
        <v>1274</v>
      </c>
    </row>
    <row r="12" customFormat="false" ht="15" hidden="false" customHeight="false" outlineLevel="0" collapsed="false">
      <c r="A12" s="5" t="s">
        <v>1275</v>
      </c>
      <c r="B12" s="5" t="s">
        <v>1276</v>
      </c>
      <c r="C12" s="5" t="s">
        <v>1277</v>
      </c>
      <c r="D12" s="5" t="s">
        <v>1278</v>
      </c>
    </row>
    <row r="13" customFormat="false" ht="28.35" hidden="false" customHeight="false" outlineLevel="0" collapsed="false">
      <c r="A13" s="5" t="s">
        <v>1019</v>
      </c>
      <c r="B13" s="5" t="s">
        <v>1279</v>
      </c>
      <c r="C13" s="5" t="s">
        <v>1280</v>
      </c>
      <c r="D13" s="5" t="s">
        <v>1281</v>
      </c>
    </row>
    <row r="14" customFormat="false" ht="15" hidden="false" customHeight="false" outlineLevel="0" collapsed="false">
      <c r="A14" s="5" t="s">
        <v>1282</v>
      </c>
      <c r="B14" s="5" t="s">
        <v>1283</v>
      </c>
      <c r="C14" s="5" t="s">
        <v>1277</v>
      </c>
      <c r="D14" s="5" t="s">
        <v>1284</v>
      </c>
    </row>
    <row r="15" customFormat="false" ht="28.35" hidden="false" customHeight="false" outlineLevel="0" collapsed="false">
      <c r="A15" s="5" t="s">
        <v>1045</v>
      </c>
      <c r="B15" s="5" t="s">
        <v>1285</v>
      </c>
      <c r="C15" s="5" t="s">
        <v>1286</v>
      </c>
      <c r="D15" s="5" t="s">
        <v>1287</v>
      </c>
    </row>
    <row r="16" customFormat="false" ht="28.35" hidden="false" customHeight="false" outlineLevel="0" collapsed="false">
      <c r="A16" s="5" t="s">
        <v>1001</v>
      </c>
      <c r="B16" s="5" t="s">
        <v>1288</v>
      </c>
      <c r="C16" s="5" t="s">
        <v>1246</v>
      </c>
      <c r="D16" s="5" t="s">
        <v>1289</v>
      </c>
    </row>
    <row r="17" customFormat="false" ht="28.35" hidden="false" customHeight="false" outlineLevel="0" collapsed="false">
      <c r="A17" s="5" t="s">
        <v>1290</v>
      </c>
      <c r="B17" s="5" t="s">
        <v>1291</v>
      </c>
      <c r="C17" s="5" t="s">
        <v>1292</v>
      </c>
      <c r="D17" s="5" t="s">
        <v>1293</v>
      </c>
    </row>
    <row r="18" customFormat="false" ht="41.75" hidden="false" customHeight="false" outlineLevel="0" collapsed="false">
      <c r="A18" s="5" t="s">
        <v>1294</v>
      </c>
      <c r="B18" s="5" t="s">
        <v>1295</v>
      </c>
      <c r="C18" s="5" t="s">
        <v>1296</v>
      </c>
      <c r="D18" s="5" t="s">
        <v>1297</v>
      </c>
    </row>
    <row r="19" customFormat="false" ht="41.75" hidden="false" customHeight="false" outlineLevel="0" collapsed="false">
      <c r="A19" s="5" t="s">
        <v>1298</v>
      </c>
      <c r="B19" s="5" t="s">
        <v>1299</v>
      </c>
      <c r="C19" s="5" t="s">
        <v>1300</v>
      </c>
      <c r="D19" s="5" t="s">
        <v>1301</v>
      </c>
    </row>
    <row r="20" customFormat="false" ht="15" hidden="false" customHeight="false" outlineLevel="0" collapsed="false">
      <c r="A20" s="5" t="s">
        <v>1302</v>
      </c>
      <c r="B20" s="5" t="s">
        <v>1303</v>
      </c>
      <c r="C20" s="5" t="s">
        <v>1277</v>
      </c>
      <c r="D20" s="5" t="s">
        <v>1304</v>
      </c>
    </row>
    <row r="21" customFormat="false" ht="28.35" hidden="false" customHeight="false" outlineLevel="0" collapsed="false">
      <c r="A21" s="5" t="s">
        <v>1034</v>
      </c>
      <c r="B21" s="5" t="s">
        <v>1305</v>
      </c>
      <c r="C21" s="5" t="s">
        <v>1306</v>
      </c>
      <c r="D21" s="5" t="s">
        <v>1307</v>
      </c>
    </row>
    <row r="22" customFormat="false" ht="41.75" hidden="false" customHeight="false" outlineLevel="0" collapsed="false">
      <c r="A22" s="5" t="s">
        <v>1308</v>
      </c>
      <c r="B22" s="5" t="s">
        <v>1309</v>
      </c>
      <c r="C22" s="5" t="s">
        <v>1306</v>
      </c>
      <c r="D22" s="5" t="s">
        <v>1310</v>
      </c>
    </row>
    <row r="23" customFormat="false" ht="28.35" hidden="false" customHeight="false" outlineLevel="0" collapsed="false">
      <c r="A23" s="5" t="s">
        <v>1311</v>
      </c>
      <c r="B23" s="5" t="s">
        <v>1312</v>
      </c>
      <c r="C23" s="5" t="s">
        <v>1313</v>
      </c>
      <c r="D23" s="5" t="s">
        <v>1314</v>
      </c>
    </row>
    <row r="24" customFormat="false" ht="15" hidden="false" customHeight="false" outlineLevel="0" collapsed="false">
      <c r="A24" s="5" t="s">
        <v>1315</v>
      </c>
      <c r="B24" s="5" t="s">
        <v>1316</v>
      </c>
      <c r="C24" s="5" t="s">
        <v>1313</v>
      </c>
      <c r="D24" s="5" t="s">
        <v>1317</v>
      </c>
    </row>
  </sheetData>
  <autoFilter ref="A1:D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5"/>
    <col collapsed="false" customWidth="true" hidden="false" outlineLevel="0" max="3" min="3" style="0" width="26"/>
    <col collapsed="false" customWidth="true" hidden="false" outlineLevel="0" max="4" min="4" style="0" width="45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4" t="s">
        <v>937</v>
      </c>
      <c r="B1" s="4" t="s">
        <v>1318</v>
      </c>
      <c r="C1" s="4" t="s">
        <v>1319</v>
      </c>
      <c r="D1" s="4" t="s">
        <v>1320</v>
      </c>
      <c r="E1" s="4" t="s">
        <v>1321</v>
      </c>
    </row>
    <row r="2" customFormat="false" ht="28.35" hidden="false" customHeight="false" outlineLevel="0" collapsed="false">
      <c r="A2" s="5" t="n">
        <v>1</v>
      </c>
      <c r="B2" s="5" t="s">
        <v>1322</v>
      </c>
      <c r="C2" s="5" t="s">
        <v>1323</v>
      </c>
      <c r="D2" s="5" t="s">
        <v>1324</v>
      </c>
      <c r="E2" s="5" t="s">
        <v>1325</v>
      </c>
    </row>
    <row r="3" customFormat="false" ht="28.35" hidden="false" customHeight="false" outlineLevel="0" collapsed="false">
      <c r="A3" s="5" t="n">
        <v>2</v>
      </c>
      <c r="B3" s="5" t="s">
        <v>1326</v>
      </c>
      <c r="C3" s="5" t="s">
        <v>1327</v>
      </c>
      <c r="D3" s="5" t="s">
        <v>1328</v>
      </c>
      <c r="E3" s="5" t="s">
        <v>1329</v>
      </c>
    </row>
    <row r="4" customFormat="false" ht="28.35" hidden="false" customHeight="false" outlineLevel="0" collapsed="false">
      <c r="A4" s="5" t="n">
        <v>3</v>
      </c>
      <c r="B4" s="5" t="s">
        <v>1330</v>
      </c>
      <c r="C4" s="5" t="s">
        <v>1331</v>
      </c>
      <c r="D4" s="5" t="s">
        <v>1332</v>
      </c>
      <c r="E4" s="5" t="s">
        <v>1333</v>
      </c>
    </row>
    <row r="5" customFormat="false" ht="28.35" hidden="false" customHeight="false" outlineLevel="0" collapsed="false">
      <c r="A5" s="5" t="n">
        <v>4</v>
      </c>
      <c r="B5" s="5" t="s">
        <v>1334</v>
      </c>
      <c r="C5" s="5" t="s">
        <v>1335</v>
      </c>
      <c r="D5" s="5" t="s">
        <v>1336</v>
      </c>
      <c r="E5" s="5" t="s">
        <v>1337</v>
      </c>
    </row>
    <row r="6" customFormat="false" ht="28.35" hidden="false" customHeight="false" outlineLevel="0" collapsed="false">
      <c r="A6" s="5" t="n">
        <v>5</v>
      </c>
      <c r="B6" s="5" t="s">
        <v>1338</v>
      </c>
      <c r="C6" s="5" t="s">
        <v>1339</v>
      </c>
      <c r="D6" s="5" t="s">
        <v>1340</v>
      </c>
      <c r="E6" s="5" t="s">
        <v>1341</v>
      </c>
    </row>
    <row r="7" customFormat="false" ht="15" hidden="false" customHeight="false" outlineLevel="0" collapsed="false">
      <c r="A7" s="5" t="n">
        <v>6</v>
      </c>
      <c r="B7" s="5" t="s">
        <v>1342</v>
      </c>
      <c r="C7" s="5" t="s">
        <v>1343</v>
      </c>
      <c r="D7" s="5" t="s">
        <v>1344</v>
      </c>
      <c r="E7" s="5" t="s">
        <v>1345</v>
      </c>
    </row>
    <row r="8" customFormat="false" ht="15" hidden="false" customHeight="false" outlineLevel="0" collapsed="false">
      <c r="A8" s="5" t="n">
        <v>7</v>
      </c>
      <c r="B8" s="5" t="s">
        <v>1346</v>
      </c>
      <c r="C8" s="5" t="s">
        <v>1347</v>
      </c>
      <c r="D8" s="5" t="s">
        <v>1348</v>
      </c>
      <c r="E8" s="5" t="s">
        <v>1349</v>
      </c>
    </row>
    <row r="9" customFormat="false" ht="15" hidden="false" customHeight="false" outlineLevel="0" collapsed="false">
      <c r="A9" s="5" t="n">
        <v>8</v>
      </c>
      <c r="B9" s="5" t="s">
        <v>1350</v>
      </c>
      <c r="C9" s="5" t="s">
        <v>1347</v>
      </c>
      <c r="D9" s="5" t="s">
        <v>1351</v>
      </c>
      <c r="E9" s="5" t="s">
        <v>1352</v>
      </c>
    </row>
    <row r="10" customFormat="false" ht="28.35" hidden="false" customHeight="false" outlineLevel="0" collapsed="false">
      <c r="A10" s="5" t="n">
        <v>9</v>
      </c>
      <c r="B10" s="5" t="s">
        <v>1353</v>
      </c>
      <c r="C10" s="5" t="s">
        <v>1331</v>
      </c>
      <c r="D10" s="5" t="s">
        <v>1354</v>
      </c>
      <c r="E10" s="5" t="s">
        <v>1355</v>
      </c>
    </row>
    <row r="11" customFormat="false" ht="15" hidden="false" customHeight="false" outlineLevel="0" collapsed="false">
      <c r="A11" s="5" t="n">
        <v>10</v>
      </c>
      <c r="B11" s="5" t="s">
        <v>1356</v>
      </c>
      <c r="C11" s="5" t="s">
        <v>451</v>
      </c>
      <c r="D11" s="5" t="s">
        <v>1357</v>
      </c>
      <c r="E11" s="5" t="s">
        <v>1358</v>
      </c>
    </row>
    <row r="12" customFormat="false" ht="15" hidden="false" customHeight="false" outlineLevel="0" collapsed="false">
      <c r="A12" s="5" t="n">
        <v>11</v>
      </c>
      <c r="B12" s="5" t="s">
        <v>1359</v>
      </c>
      <c r="C12" s="5" t="s">
        <v>1360</v>
      </c>
      <c r="D12" s="5" t="s">
        <v>1361</v>
      </c>
      <c r="E12" s="5" t="s">
        <v>1362</v>
      </c>
    </row>
    <row r="13" customFormat="false" ht="28.35" hidden="false" customHeight="false" outlineLevel="0" collapsed="false">
      <c r="A13" s="5" t="n">
        <v>12</v>
      </c>
      <c r="B13" s="5" t="s">
        <v>1363</v>
      </c>
      <c r="C13" s="5" t="s">
        <v>1364</v>
      </c>
      <c r="D13" s="5" t="s">
        <v>1365</v>
      </c>
      <c r="E13" s="5" t="s">
        <v>1366</v>
      </c>
    </row>
    <row r="14" customFormat="false" ht="15" hidden="false" customHeight="false" outlineLevel="0" collapsed="false">
      <c r="A14" s="5" t="n">
        <v>13</v>
      </c>
      <c r="B14" s="5" t="s">
        <v>1367</v>
      </c>
      <c r="C14" s="5" t="s">
        <v>1368</v>
      </c>
      <c r="D14" s="5" t="s">
        <v>1369</v>
      </c>
      <c r="E14" s="5" t="s">
        <v>1370</v>
      </c>
    </row>
    <row r="15" customFormat="false" ht="15" hidden="false" customHeight="false" outlineLevel="0" collapsed="false">
      <c r="A15" s="5" t="n">
        <v>14</v>
      </c>
      <c r="B15" s="5" t="s">
        <v>1371</v>
      </c>
      <c r="C15" s="5" t="s">
        <v>1372</v>
      </c>
      <c r="D15" s="5" t="s">
        <v>1373</v>
      </c>
      <c r="E15" s="5" t="s">
        <v>1374</v>
      </c>
    </row>
    <row r="16" customFormat="false" ht="28.35" hidden="false" customHeight="false" outlineLevel="0" collapsed="false">
      <c r="A16" s="5" t="n">
        <v>15</v>
      </c>
      <c r="B16" s="5" t="s">
        <v>1375</v>
      </c>
      <c r="C16" s="5" t="s">
        <v>1376</v>
      </c>
      <c r="D16" s="5" t="s">
        <v>1377</v>
      </c>
      <c r="E16" s="5" t="s">
        <v>1378</v>
      </c>
    </row>
    <row r="17" customFormat="false" ht="15" hidden="false" customHeight="false" outlineLevel="0" collapsed="false">
      <c r="A17" s="5" t="n">
        <v>16</v>
      </c>
      <c r="B17" s="5" t="s">
        <v>1379</v>
      </c>
      <c r="C17" s="5" t="s">
        <v>1380</v>
      </c>
      <c r="D17" s="5" t="s">
        <v>1381</v>
      </c>
      <c r="E17" s="5" t="s">
        <v>1382</v>
      </c>
    </row>
    <row r="18" customFormat="false" ht="15" hidden="false" customHeight="false" outlineLevel="0" collapsed="false">
      <c r="A18" s="5" t="n">
        <v>17</v>
      </c>
      <c r="B18" s="5" t="s">
        <v>1383</v>
      </c>
      <c r="C18" s="5" t="s">
        <v>1384</v>
      </c>
      <c r="D18" s="5" t="s">
        <v>1385</v>
      </c>
      <c r="E18" s="5" t="s">
        <v>1386</v>
      </c>
    </row>
    <row r="19" customFormat="false" ht="28.35" hidden="false" customHeight="false" outlineLevel="0" collapsed="false">
      <c r="A19" s="5" t="n">
        <v>18</v>
      </c>
      <c r="B19" s="5" t="s">
        <v>1387</v>
      </c>
      <c r="C19" s="5" t="s">
        <v>1388</v>
      </c>
      <c r="D19" s="5" t="s">
        <v>1389</v>
      </c>
      <c r="E19" s="5" t="s">
        <v>1390</v>
      </c>
    </row>
    <row r="20" customFormat="false" ht="15" hidden="false" customHeight="false" outlineLevel="0" collapsed="false">
      <c r="A20" s="5" t="n">
        <v>19</v>
      </c>
      <c r="B20" s="5" t="s">
        <v>1391</v>
      </c>
      <c r="C20" s="5" t="s">
        <v>1392</v>
      </c>
      <c r="D20" s="5" t="s">
        <v>1393</v>
      </c>
      <c r="E20" s="5" t="s">
        <v>1394</v>
      </c>
    </row>
    <row r="21" customFormat="false" ht="28.35" hidden="false" customHeight="false" outlineLevel="0" collapsed="false">
      <c r="A21" s="5" t="n">
        <v>20</v>
      </c>
      <c r="B21" s="5" t="s">
        <v>1395</v>
      </c>
      <c r="C21" s="5" t="s">
        <v>1396</v>
      </c>
      <c r="D21" s="5" t="s">
        <v>1397</v>
      </c>
      <c r="E21" s="5" t="s">
        <v>1398</v>
      </c>
    </row>
  </sheetData>
  <autoFilter ref="A1:E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45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4" t="s">
        <v>1399</v>
      </c>
      <c r="B1" s="4" t="s">
        <v>1400</v>
      </c>
      <c r="C1" s="4" t="s">
        <v>1401</v>
      </c>
      <c r="D1" s="4" t="s">
        <v>1402</v>
      </c>
      <c r="E1" s="4" t="s">
        <v>1403</v>
      </c>
      <c r="F1" s="4" t="s">
        <v>1404</v>
      </c>
      <c r="G1" s="4" t="s">
        <v>1405</v>
      </c>
    </row>
    <row r="2" customFormat="false" ht="41.75" hidden="false" customHeight="false" outlineLevel="0" collapsed="false">
      <c r="A2" s="5" t="s">
        <v>1406</v>
      </c>
      <c r="B2" s="5" t="s">
        <v>1407</v>
      </c>
      <c r="C2" s="5" t="s">
        <v>1408</v>
      </c>
      <c r="D2" s="5" t="s">
        <v>1409</v>
      </c>
      <c r="E2" s="5" t="s">
        <v>1410</v>
      </c>
      <c r="F2" s="5" t="s">
        <v>1411</v>
      </c>
      <c r="G2" s="5" t="s">
        <v>1412</v>
      </c>
    </row>
    <row r="3" customFormat="false" ht="28.35" hidden="false" customHeight="false" outlineLevel="0" collapsed="false">
      <c r="A3" s="5" t="s">
        <v>1108</v>
      </c>
      <c r="B3" s="5" t="s">
        <v>1413</v>
      </c>
      <c r="C3" s="5" t="s">
        <v>1414</v>
      </c>
      <c r="D3" s="5" t="s">
        <v>1415</v>
      </c>
      <c r="E3" s="5" t="s">
        <v>1416</v>
      </c>
      <c r="F3" s="5" t="s">
        <v>1417</v>
      </c>
      <c r="G3" s="5" t="s">
        <v>1418</v>
      </c>
    </row>
    <row r="4" customFormat="false" ht="28.35" hidden="false" customHeight="false" outlineLevel="0" collapsed="false">
      <c r="A4" s="5" t="s">
        <v>968</v>
      </c>
      <c r="B4" s="5" t="s">
        <v>1419</v>
      </c>
      <c r="C4" s="5" t="s">
        <v>1420</v>
      </c>
      <c r="D4" s="5" t="s">
        <v>1415</v>
      </c>
      <c r="E4" s="5" t="s">
        <v>1421</v>
      </c>
      <c r="F4" s="5" t="s">
        <v>1422</v>
      </c>
      <c r="G4" s="5" t="s">
        <v>1418</v>
      </c>
    </row>
    <row r="5" customFormat="false" ht="28.35" hidden="false" customHeight="false" outlineLevel="0" collapsed="false">
      <c r="A5" s="5" t="s">
        <v>977</v>
      </c>
      <c r="B5" s="5" t="s">
        <v>1423</v>
      </c>
      <c r="C5" s="5" t="s">
        <v>1424</v>
      </c>
      <c r="D5" s="5" t="s">
        <v>1415</v>
      </c>
      <c r="E5" s="5" t="s">
        <v>1425</v>
      </c>
      <c r="F5" s="5" t="s">
        <v>1426</v>
      </c>
      <c r="G5" s="5" t="s">
        <v>1418</v>
      </c>
    </row>
    <row r="6" customFormat="false" ht="28.35" hidden="false" customHeight="false" outlineLevel="0" collapsed="false">
      <c r="A6" s="5" t="s">
        <v>1427</v>
      </c>
      <c r="B6" s="5" t="s">
        <v>1428</v>
      </c>
      <c r="C6" s="5" t="s">
        <v>1429</v>
      </c>
      <c r="D6" s="5" t="s">
        <v>1430</v>
      </c>
      <c r="E6" s="5" t="s">
        <v>1431</v>
      </c>
      <c r="F6" s="5" t="s">
        <v>1432</v>
      </c>
      <c r="G6" s="5" t="s">
        <v>1433</v>
      </c>
    </row>
    <row r="7" customFormat="false" ht="28.35" hidden="false" customHeight="false" outlineLevel="0" collapsed="false">
      <c r="A7" s="5" t="s">
        <v>1434</v>
      </c>
      <c r="B7" s="5" t="s">
        <v>1435</v>
      </c>
      <c r="C7" s="5" t="s">
        <v>841</v>
      </c>
      <c r="D7" s="5" t="s">
        <v>1436</v>
      </c>
      <c r="E7" s="5" t="s">
        <v>841</v>
      </c>
      <c r="F7" s="5" t="s">
        <v>1437</v>
      </c>
      <c r="G7" s="5" t="s">
        <v>1059</v>
      </c>
    </row>
  </sheetData>
  <autoFilter ref="A1:G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80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4" t="s">
        <v>1438</v>
      </c>
      <c r="B1" s="4" t="s">
        <v>1439</v>
      </c>
      <c r="C1" s="4" t="s">
        <v>1440</v>
      </c>
      <c r="D1" s="4" t="s">
        <v>1441</v>
      </c>
    </row>
    <row r="2" customFormat="false" ht="28.35" hidden="false" customHeight="false" outlineLevel="0" collapsed="false">
      <c r="A2" s="5" t="s">
        <v>1442</v>
      </c>
      <c r="B2" s="5" t="s">
        <v>1443</v>
      </c>
      <c r="C2" s="5" t="s">
        <v>1444</v>
      </c>
      <c r="D2" s="5" t="s">
        <v>1445</v>
      </c>
    </row>
    <row r="3" customFormat="false" ht="28.35" hidden="false" customHeight="false" outlineLevel="0" collapsed="false">
      <c r="A3" s="5" t="s">
        <v>1446</v>
      </c>
      <c r="B3" s="5" t="s">
        <v>1447</v>
      </c>
      <c r="C3" s="5" t="s">
        <v>1448</v>
      </c>
      <c r="D3" s="5" t="s">
        <v>1449</v>
      </c>
    </row>
    <row r="4" customFormat="false" ht="28.35" hidden="false" customHeight="false" outlineLevel="0" collapsed="false">
      <c r="A4" s="5" t="s">
        <v>1450</v>
      </c>
      <c r="B4" s="5" t="s">
        <v>1451</v>
      </c>
      <c r="C4" s="5" t="s">
        <v>1452</v>
      </c>
      <c r="D4" s="5" t="s">
        <v>1453</v>
      </c>
    </row>
    <row r="5" customFormat="false" ht="28.35" hidden="false" customHeight="false" outlineLevel="0" collapsed="false">
      <c r="A5" s="5" t="s">
        <v>1454</v>
      </c>
      <c r="B5" s="5" t="s">
        <v>1455</v>
      </c>
      <c r="C5" s="5" t="s">
        <v>1456</v>
      </c>
      <c r="D5" s="5" t="s">
        <v>1457</v>
      </c>
    </row>
  </sheetData>
  <autoFilter ref="A1:D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4" t="s">
        <v>1458</v>
      </c>
      <c r="B1" s="4" t="s">
        <v>1459</v>
      </c>
      <c r="C1" s="4" t="s">
        <v>1460</v>
      </c>
    </row>
    <row r="2" customFormat="false" ht="15" hidden="false" customHeight="false" outlineLevel="0" collapsed="false">
      <c r="A2" s="5" t="s">
        <v>1461</v>
      </c>
      <c r="B2" s="5" t="s">
        <v>1462</v>
      </c>
      <c r="C2" s="5" t="s">
        <v>1463</v>
      </c>
    </row>
    <row r="3" customFormat="false" ht="28.35" hidden="false" customHeight="false" outlineLevel="0" collapsed="false">
      <c r="A3" s="5" t="s">
        <v>1464</v>
      </c>
      <c r="B3" s="5" t="s">
        <v>1465</v>
      </c>
      <c r="C3" s="5" t="s">
        <v>1466</v>
      </c>
    </row>
    <row r="4" customFormat="false" ht="15" hidden="false" customHeight="false" outlineLevel="0" collapsed="false">
      <c r="A4" s="5" t="s">
        <v>1467</v>
      </c>
      <c r="B4" s="5" t="s">
        <v>1468</v>
      </c>
      <c r="C4" s="5" t="s">
        <v>1469</v>
      </c>
    </row>
    <row r="5" customFormat="false" ht="15" hidden="false" customHeight="false" outlineLevel="0" collapsed="false">
      <c r="A5" s="5" t="s">
        <v>1470</v>
      </c>
      <c r="B5" s="5" t="s">
        <v>1471</v>
      </c>
      <c r="C5" s="5" t="s">
        <v>1472</v>
      </c>
    </row>
    <row r="6" customFormat="false" ht="15" hidden="false" customHeight="false" outlineLevel="0" collapsed="false">
      <c r="A6" s="5" t="s">
        <v>1473</v>
      </c>
      <c r="B6" s="5" t="s">
        <v>1474</v>
      </c>
      <c r="C6" s="5" t="s">
        <v>1475</v>
      </c>
    </row>
    <row r="7" customFormat="false" ht="15" hidden="false" customHeight="false" outlineLevel="0" collapsed="false">
      <c r="A7" s="5" t="s">
        <v>1476</v>
      </c>
      <c r="B7" s="5" t="s">
        <v>1477</v>
      </c>
      <c r="C7" s="5" t="s">
        <v>1478</v>
      </c>
    </row>
    <row r="8" customFormat="false" ht="15" hidden="false" customHeight="false" outlineLevel="0" collapsed="false">
      <c r="A8" s="5" t="s">
        <v>470</v>
      </c>
      <c r="B8" s="5" t="s">
        <v>1479</v>
      </c>
      <c r="C8" s="5" t="s">
        <v>1480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4" t="s">
        <v>1481</v>
      </c>
      <c r="B1" s="4" t="s">
        <v>1482</v>
      </c>
      <c r="C1" s="4" t="s">
        <v>1483</v>
      </c>
    </row>
    <row r="2" customFormat="false" ht="28.35" hidden="false" customHeight="false" outlineLevel="0" collapsed="false">
      <c r="A2" s="5" t="s">
        <v>1484</v>
      </c>
      <c r="B2" s="5" t="s">
        <v>1485</v>
      </c>
      <c r="C2" s="5" t="s">
        <v>1486</v>
      </c>
    </row>
    <row r="3" customFormat="false" ht="28.35" hidden="false" customHeight="false" outlineLevel="0" collapsed="false">
      <c r="A3" s="5" t="s">
        <v>1487</v>
      </c>
      <c r="B3" s="5" t="s">
        <v>1488</v>
      </c>
      <c r="C3" s="5" t="s">
        <v>1489</v>
      </c>
    </row>
    <row r="4" customFormat="false" ht="28.35" hidden="false" customHeight="false" outlineLevel="0" collapsed="false">
      <c r="A4" s="5" t="s">
        <v>1490</v>
      </c>
      <c r="B4" s="5" t="s">
        <v>1491</v>
      </c>
      <c r="C4" s="5" t="s">
        <v>1492</v>
      </c>
    </row>
    <row r="5" customFormat="false" ht="28.35" hidden="false" customHeight="false" outlineLevel="0" collapsed="false">
      <c r="A5" s="5" t="s">
        <v>1493</v>
      </c>
      <c r="B5" s="5" t="s">
        <v>1494</v>
      </c>
      <c r="C5" s="5" t="s">
        <v>1495</v>
      </c>
    </row>
    <row r="6" customFormat="false" ht="28.35" hidden="false" customHeight="false" outlineLevel="0" collapsed="false">
      <c r="A6" s="5" t="s">
        <v>1496</v>
      </c>
      <c r="B6" s="5" t="s">
        <v>1497</v>
      </c>
      <c r="C6" s="5" t="s">
        <v>1498</v>
      </c>
    </row>
    <row r="7" customFormat="false" ht="28.35" hidden="false" customHeight="false" outlineLevel="0" collapsed="false">
      <c r="A7" s="5" t="s">
        <v>1499</v>
      </c>
      <c r="B7" s="5" t="s">
        <v>1500</v>
      </c>
      <c r="C7" s="5" t="s">
        <v>1501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2026-10-29T14:40:32Z</dcterms:created>
  <dc:creator>openpyxl</dc:creator>
  <dc:description/>
  <dc:language>en-US</dc:language>
  <cp:lastModifiedBy/>
  <dcterms:modified xsi:type="dcterms:W3CDTF">2026-10-29T14:40:32Z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