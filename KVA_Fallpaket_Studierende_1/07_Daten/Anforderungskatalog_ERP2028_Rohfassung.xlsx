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3"/>
    <sheet name="Anforderungen" sheetId="2" state="visible" r:id="rId4"/>
    <sheet name="Auswertung" sheetId="3" state="visible" r:id="rId5"/>
    <sheet name="Mengengerüst" sheetId="4" state="visible" r:id="rId6"/>
  </sheets>
  <definedNames>
    <definedName function="false" hidden="true" localSheetId="1" name="_xlnm._FilterDatabase" vbProcedure="false">Anforderungen!$A$1:$I$112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<sst xmlns="http://schemas.openxmlformats.org/spreadsheetml/2006/main" count="1156" uniqueCount="568">
  <si>
    <t xml:space="preserve">Anforderungskatalog ERP 2028 – ROHFASSUNG</t>
  </si>
  <si>
    <t xml:space="preserve">Kessler &amp; Vogt Antriebstechnik GmbH</t>
  </si>
  <si>
    <t xml:space="preserve">Stand: 12.02.2026 · Bearbeitung: L. Hartmann, Key User</t>
  </si>
  <si>
    <t xml:space="preserve">Hinweise</t>
  </si>
  <si>
    <t xml:space="preserve">• Rohfassung, nicht konsolidiert. Prioritäten wurden von den Fachbereichen selbst vergeben.</t>
  </si>
  <si>
    <t xml:space="preserve">• Prioritätsangaben uneinheitlich (MUSS / Muss / Hoch / ?). Bitte im Zuge der Konsolidierung vereinheitlichen.</t>
  </si>
  <si>
    <t xml:space="preserve">• Status 'strittig' = widersprüchliche Aussagen bekannt. Status 'alt' = aus Lastenheft 2015 übernommen, nicht validiert.</t>
  </si>
  <si>
    <t xml:space="preserve">• Dubletten möglich.</t>
  </si>
  <si>
    <t xml:space="preserve">• Mengengerüst: siehe Blatt 'Mengengerüst' – Werte aus verschiedenen Quellen, teils abweichend.</t>
  </si>
  <si>
    <t xml:space="preserve">ID</t>
  </si>
  <si>
    <t xml:space="preserve">Bereich</t>
  </si>
  <si>
    <t xml:space="preserve">Titel</t>
  </si>
  <si>
    <t xml:space="preserve">Beschreibung</t>
  </si>
  <si>
    <t xml:space="preserve">Priorität (Fachbereich)</t>
  </si>
  <si>
    <t xml:space="preserve">Quelle</t>
  </si>
  <si>
    <t xml:space="preserve">Ansprechpartner</t>
  </si>
  <si>
    <t xml:space="preserve">Status</t>
  </si>
  <si>
    <t xml:space="preserve">Kommentar</t>
  </si>
  <si>
    <t xml:space="preserve">A-001</t>
  </si>
  <si>
    <t xml:space="preserve">Allgemein</t>
  </si>
  <si>
    <t xml:space="preserve">Standardsoftware</t>
  </si>
  <si>
    <t xml:space="preserve">Das System muss eine Standardsoftware sein, Anpassungen nur in Ausnahmefällen.</t>
  </si>
  <si>
    <t xml:space="preserve">MUSS</t>
  </si>
  <si>
    <t xml:space="preserve">Projektauftrag</t>
  </si>
  <si>
    <t xml:space="preserve">Kessler</t>
  </si>
  <si>
    <t xml:space="preserve">abgestimmt</t>
  </si>
  <si>
    <t xml:space="preserve">A-002</t>
  </si>
  <si>
    <t xml:space="preserve">Benutzerfreundlichkeit</t>
  </si>
  <si>
    <t xml:space="preserve">Das System muss benutzerfreundlich und intuitiv sein.</t>
  </si>
  <si>
    <t xml:space="preserve">Kick-off</t>
  </si>
  <si>
    <t xml:space="preserve">alle</t>
  </si>
  <si>
    <t xml:space="preserve">offen</t>
  </si>
  <si>
    <t xml:space="preserve">Wie messen?</t>
  </si>
  <si>
    <t xml:space="preserve">A-003</t>
  </si>
  <si>
    <t xml:space="preserve">Mehrsprachigkeit Oberfläche</t>
  </si>
  <si>
    <t xml:space="preserve">Oberfläche DE, EN, CZ.</t>
  </si>
  <si>
    <t xml:space="preserve">Hartmann</t>
  </si>
  <si>
    <t xml:space="preserve">Brenner: EN reicht für CZ?</t>
  </si>
  <si>
    <t xml:space="preserve">A-004</t>
  </si>
  <si>
    <t xml:space="preserve">Mehrsprachigkeit Belege</t>
  </si>
  <si>
    <t xml:space="preserve">Belege DE, EN, CZ, FR, IT.</t>
  </si>
  <si>
    <t xml:space="preserve">Muss</t>
  </si>
  <si>
    <t xml:space="preserve">Interview 05</t>
  </si>
  <si>
    <t xml:space="preserve">Petersen</t>
  </si>
  <si>
    <t xml:space="preserve">A-005</t>
  </si>
  <si>
    <t xml:space="preserve">Mandantenfähigkeit</t>
  </si>
  <si>
    <t xml:space="preserve">3 Gesellschaften (DE, CZ, CH) in einem System.</t>
  </si>
  <si>
    <t xml:space="preserve">Interview 03</t>
  </si>
  <si>
    <t xml:space="preserve">Haller</t>
  </si>
  <si>
    <t xml:space="preserve">A-006</t>
  </si>
  <si>
    <t xml:space="preserve">Mobile Nutzung</t>
  </si>
  <si>
    <t xml:space="preserve">Kennzahlen und Freigaben auf dem Smartphone.</t>
  </si>
  <si>
    <t xml:space="preserve">SOLL</t>
  </si>
  <si>
    <t xml:space="preserve">Interview 01</t>
  </si>
  <si>
    <t xml:space="preserve">A-007</t>
  </si>
  <si>
    <t xml:space="preserve">KI-Funktionen</t>
  </si>
  <si>
    <t xml:space="preserve">Integrierte KI, z. B. automatische Beantwortung von Kundenanfragen.</t>
  </si>
  <si>
    <t xml:space="preserve">KANN</t>
  </si>
  <si>
    <t xml:space="preserve">sehr unkonkret</t>
  </si>
  <si>
    <t xml:space="preserve">A-008</t>
  </si>
  <si>
    <t xml:space="preserve">Ein System für alles</t>
  </si>
  <si>
    <t xml:space="preserve">Alle Funktionen inkl. CRM in einem System.</t>
  </si>
  <si>
    <t xml:space="preserve">strittig</t>
  </si>
  <si>
    <t xml:space="preserve">vgl. V-012</t>
  </si>
  <si>
    <t xml:space="preserve">A-009</t>
  </si>
  <si>
    <t xml:space="preserve">Historische Daten</t>
  </si>
  <si>
    <t xml:space="preserve">10 Jahre Historie im neuen System verfügbar.</t>
  </si>
  <si>
    <t xml:space="preserve">Vertrieb (mündl.)</t>
  </si>
  <si>
    <t xml:space="preserve">Moser</t>
  </si>
  <si>
    <t xml:space="preserve">IT schlägt Archiv vor</t>
  </si>
  <si>
    <t xml:space="preserve">A-010</t>
  </si>
  <si>
    <t xml:space="preserve">Alle Listen KVA-WARE</t>
  </si>
  <si>
    <t xml:space="preserve">Alle bisherigen Auswertungen müssen verfügbar sein.</t>
  </si>
  <si>
    <t xml:space="preserve">Lastenheft 2015</t>
  </si>
  <si>
    <t xml:space="preserve">?</t>
  </si>
  <si>
    <t xml:space="preserve">alt</t>
  </si>
  <si>
    <t xml:space="preserve">340 Listen, ca. 40 genutzt</t>
  </si>
  <si>
    <t xml:space="preserve">F-001</t>
  </si>
  <si>
    <t xml:space="preserve">Finanzen</t>
  </si>
  <si>
    <t xml:space="preserve">Hauptbuch im ERP</t>
  </si>
  <si>
    <t xml:space="preserve">Ablösung DATEV als Hauptbuch.</t>
  </si>
  <si>
    <t xml:space="preserve">F-002</t>
  </si>
  <si>
    <t xml:space="preserve">Konsolidierung</t>
  </si>
  <si>
    <t xml:space="preserve">Konzernkonsolidierung 3 Gesellschaften, IC-Eliminierung.</t>
  </si>
  <si>
    <t xml:space="preserve">Pilsen Phase 2 lt. Projektauftrag!</t>
  </si>
  <si>
    <t xml:space="preserve">F-003</t>
  </si>
  <si>
    <t xml:space="preserve">E-Rechnung</t>
  </si>
  <si>
    <t xml:space="preserve">XRechnung/ZUGFeRD Ein- und Ausgang; CZ und CH lokal.</t>
  </si>
  <si>
    <t xml:space="preserve">gesetzl.</t>
  </si>
  <si>
    <t xml:space="preserve">F-004</t>
  </si>
  <si>
    <t xml:space="preserve">GoBD</t>
  </si>
  <si>
    <t xml:space="preserve">GoBD-konforme Archivierung, Verfahrensdoku.</t>
  </si>
  <si>
    <t xml:space="preserve">F-005</t>
  </si>
  <si>
    <t xml:space="preserve">Mehrwährung</t>
  </si>
  <si>
    <t xml:space="preserve">EUR, CZK, CHF, USD</t>
  </si>
  <si>
    <t xml:space="preserve">F-006</t>
  </si>
  <si>
    <t xml:space="preserve">CZ-Lokalisierung</t>
  </si>
  <si>
    <t xml:space="preserve">kontrolní hlášení, Intrastat, CZ-Bilanzierung</t>
  </si>
  <si>
    <t xml:space="preserve">Interview 11</t>
  </si>
  <si>
    <t xml:space="preserve">Nováková</t>
  </si>
  <si>
    <t xml:space="preserve">F-007</t>
  </si>
  <si>
    <t xml:space="preserve">CH-Lokalisierung</t>
  </si>
  <si>
    <t xml:space="preserve">MWST, QR-Rechnung</t>
  </si>
  <si>
    <t xml:space="preserve">Phase 2?</t>
  </si>
  <si>
    <t xml:space="preserve">F-008</t>
  </si>
  <si>
    <t xml:space="preserve">Rechnungseingangsworkflow</t>
  </si>
  <si>
    <t xml:space="preserve">Digitaler Eingang, Freigabe 4-Augen, Betragsgrenzen</t>
  </si>
  <si>
    <t xml:space="preserve">ggf. ELO?</t>
  </si>
  <si>
    <t xml:space="preserve">F-009</t>
  </si>
  <si>
    <t xml:space="preserve">Kostenträgerrechnung</t>
  </si>
  <si>
    <t xml:space="preserve">Nachkalkulation je Auftrag/Projekt mit Ist-Kosten</t>
  </si>
  <si>
    <t xml:space="preserve">Arnold</t>
  </si>
  <si>
    <t xml:space="preserve">setzt BDE voraus</t>
  </si>
  <si>
    <t xml:space="preserve">F-010</t>
  </si>
  <si>
    <t xml:space="preserve">Planung/Budgetierung</t>
  </si>
  <si>
    <t xml:space="preserve">Kostenstellen- und Umsatzplanung im System</t>
  </si>
  <si>
    <t xml:space="preserve">F-011</t>
  </si>
  <si>
    <t xml:space="preserve">IFRS</t>
  </si>
  <si>
    <t xml:space="preserve">Paralleles Rechnungslegungswerk IFRS</t>
  </si>
  <si>
    <t xml:space="preserve">Beirat</t>
  </si>
  <si>
    <t xml:space="preserve">Beirat: 'wäre klug'</t>
  </si>
  <si>
    <t xml:space="preserve">F-012</t>
  </si>
  <si>
    <t xml:space="preserve">Berechtigungen / SoD</t>
  </si>
  <si>
    <t xml:space="preserve">Rollenkonzept mit Funktionstrennung</t>
  </si>
  <si>
    <t xml:space="preserve">WP-Rüge 2024</t>
  </si>
  <si>
    <t xml:space="preserve">F-013</t>
  </si>
  <si>
    <t xml:space="preserve">Offene API für BI</t>
  </si>
  <si>
    <t xml:space="preserve">OData/REST für Power BI</t>
  </si>
  <si>
    <t xml:space="preserve">F-014</t>
  </si>
  <si>
    <t xml:space="preserve">Kein Zusatz-BI</t>
  </si>
  <si>
    <t xml:space="preserve">Kein separat zu lizenzierendes BI-Modul</t>
  </si>
  <si>
    <t xml:space="preserve">F-015</t>
  </si>
  <si>
    <t xml:space="preserve">Anlagenbuchhaltung</t>
  </si>
  <si>
    <t xml:space="preserve">inkl. Leasing</t>
  </si>
  <si>
    <t xml:space="preserve">V-001</t>
  </si>
  <si>
    <t xml:space="preserve">Vertrieb</t>
  </si>
  <si>
    <t xml:space="preserve">Variantenkonfigurator</t>
  </si>
  <si>
    <t xml:space="preserve">Regelbasierter Produktkonfigurator für Getriebebaukasten (ca. 2,3 Mio. Varianten), integriert.</t>
  </si>
  <si>
    <t xml:space="preserve">MUSS / K.O.</t>
  </si>
  <si>
    <t xml:space="preserve">Interview 02, 05</t>
  </si>
  <si>
    <t xml:space="preserve">Vogt, Petersen</t>
  </si>
  <si>
    <t xml:space="preserve">K.-o.-Kriterium lt. Vogt</t>
  </si>
  <si>
    <t xml:space="preserve">V-002</t>
  </si>
  <si>
    <t xml:space="preserve">Konfigurator offline iPad</t>
  </si>
  <si>
    <t xml:space="preserve">Konfigurator beim Kunden auf iPad, offline, mit 3D-Modell.</t>
  </si>
  <si>
    <t xml:space="preserve">3D aus CAD?</t>
  </si>
  <si>
    <t xml:space="preserve">V-003</t>
  </si>
  <si>
    <t xml:space="preserve">Preisfindung</t>
  </si>
  <si>
    <t xml:space="preserve">Kundenkonditionen, Projektpreise, Staffeln, Metallzuschlag</t>
  </si>
  <si>
    <t xml:space="preserve">vgl. E-004</t>
  </si>
  <si>
    <t xml:space="preserve">V-004</t>
  </si>
  <si>
    <t xml:space="preserve">Verfügbarkeitsprüfung</t>
  </si>
  <si>
    <t xml:space="preserve">ATP/CTP bei Auftragserfassung, verbindlicher Liefertermin</t>
  </si>
  <si>
    <t xml:space="preserve">V-005</t>
  </si>
  <si>
    <t xml:space="preserve">Angebotsverfolgung</t>
  </si>
  <si>
    <t xml:space="preserve">Wiedervorlage, Status, Verlustgründe</t>
  </si>
  <si>
    <t xml:space="preserve">in Salesforce?</t>
  </si>
  <si>
    <t xml:space="preserve">V-006</t>
  </si>
  <si>
    <t xml:space="preserve">Projektabwicklung Sonder</t>
  </si>
  <si>
    <t xml:space="preserve">Meilensteine, Anzahlungen, Projektstatus, PoC</t>
  </si>
  <si>
    <t xml:space="preserve">V-007</t>
  </si>
  <si>
    <t xml:space="preserve">Exportkontrolle</t>
  </si>
  <si>
    <t xml:space="preserve">Sanktionslisten automatisch, Güterlistennr. am Artikel, Sperre</t>
  </si>
  <si>
    <t xml:space="preserve">Haftung GF</t>
  </si>
  <si>
    <t xml:space="preserve">V-008</t>
  </si>
  <si>
    <t xml:space="preserve">EDI Kunden</t>
  </si>
  <si>
    <t xml:space="preserve">ORDERS, DESADV, INVOIC, DELFOR (VDA/EDIFACT)</t>
  </si>
  <si>
    <t xml:space="preserve">IT-Architektur</t>
  </si>
  <si>
    <t xml:space="preserve">Brenner</t>
  </si>
  <si>
    <t xml:space="preserve">V-009</t>
  </si>
  <si>
    <t xml:space="preserve">Kundenportal</t>
  </si>
  <si>
    <t xml:space="preserve">Auftragsstatus, Belege, Zeichnungen für Kunden</t>
  </si>
  <si>
    <t xml:space="preserve">vgl. S-006</t>
  </si>
  <si>
    <t xml:space="preserve">V-010</t>
  </si>
  <si>
    <t xml:space="preserve">Outlook-Integration</t>
  </si>
  <si>
    <t xml:space="preserve">Belegversand, Korrespondenz am Vorgang</t>
  </si>
  <si>
    <t xml:space="preserve">V-011</t>
  </si>
  <si>
    <t xml:space="preserve">Salesforce-Integration</t>
  </si>
  <si>
    <t xml:space="preserve">Bidirektional: Kunden, Angebote, Aufträge, Liefertermine, OP</t>
  </si>
  <si>
    <t xml:space="preserve">E-Mail Moser 26.01.</t>
  </si>
  <si>
    <t xml:space="preserve">vgl. V-012, A-008</t>
  </si>
  <si>
    <t xml:space="preserve">V-012</t>
  </si>
  <si>
    <t xml:space="preserve">CRM im ERP</t>
  </si>
  <si>
    <t xml:space="preserve">CRM-Funktionen im ERP, Ablösung Salesforce</t>
  </si>
  <si>
    <t xml:space="preserve">GF-Mail 27.01.: beide bewerten</t>
  </si>
  <si>
    <t xml:space="preserve">V-013</t>
  </si>
  <si>
    <t xml:space="preserve">Rahmenaufträge/Lieferpläne</t>
  </si>
  <si>
    <t xml:space="preserve">Abrufe, Lieferplaneinteilungen</t>
  </si>
  <si>
    <t xml:space="preserve">Prozess O2C</t>
  </si>
  <si>
    <t xml:space="preserve">V-014</t>
  </si>
  <si>
    <t xml:space="preserve">Konsignationslager Kunde</t>
  </si>
  <si>
    <t xml:space="preserve">Bestandsführung beim Kunden, Verbrauchsmeldung</t>
  </si>
  <si>
    <t xml:space="preserve">Interview 08</t>
  </si>
  <si>
    <t xml:space="preserve">Hummel</t>
  </si>
  <si>
    <t xml:space="preserve">V-015</t>
  </si>
  <si>
    <t xml:space="preserve">Konfigurator muss alle Optionen aus KonfiX abbilden.</t>
  </si>
  <si>
    <t xml:space="preserve">Hoch</t>
  </si>
  <si>
    <t xml:space="preserve">Workshop O2C</t>
  </si>
  <si>
    <t xml:space="preserve">Dublette?</t>
  </si>
  <si>
    <t xml:space="preserve">vgl. V-001</t>
  </si>
  <si>
    <t xml:space="preserve">P-001</t>
  </si>
  <si>
    <t xml:space="preserve">Produktion</t>
  </si>
  <si>
    <t xml:space="preserve">Variantenstückliste</t>
  </si>
  <si>
    <t xml:space="preserve">Regelbasiert, automatische FA-Stückliste &amp; Arbeitsplan</t>
  </si>
  <si>
    <t xml:space="preserve">Interview 06</t>
  </si>
  <si>
    <t xml:space="preserve">Lang</t>
  </si>
  <si>
    <t xml:space="preserve">P-002</t>
  </si>
  <si>
    <t xml:space="preserve">PDM-Integration</t>
  </si>
  <si>
    <t xml:space="preserve">Bidirektional, Revisionsstände, Änderungswesen</t>
  </si>
  <si>
    <t xml:space="preserve">Interview 04, 06</t>
  </si>
  <si>
    <t xml:space="preserve">SolidWorks PDM</t>
  </si>
  <si>
    <t xml:space="preserve">P-003</t>
  </si>
  <si>
    <t xml:space="preserve">MRP</t>
  </si>
  <si>
    <t xml:space="preserve">Losgrößen, WBZ, Sicherheitsbestand</t>
  </si>
  <si>
    <t xml:space="preserve">P-004</t>
  </si>
  <si>
    <t xml:space="preserve">Kapazitätsplanung grob</t>
  </si>
  <si>
    <t xml:space="preserve">alle Arbeitsplätze</t>
  </si>
  <si>
    <t xml:space="preserve">Wiedmann</t>
  </si>
  <si>
    <t xml:space="preserve">P-005</t>
  </si>
  <si>
    <t xml:space="preserve">Feinplanung APS</t>
  </si>
  <si>
    <t xml:space="preserve">Finite Planung Härterei/Verzahnung, Ofenchargen</t>
  </si>
  <si>
    <t xml:space="preserve">Wiedmann: Phase 2?</t>
  </si>
  <si>
    <t xml:space="preserve">P-006</t>
  </si>
  <si>
    <t xml:space="preserve">Leitstand grafisch</t>
  </si>
  <si>
    <t xml:space="preserve">Gantt, Drag &amp; Drop, Simulation</t>
  </si>
  <si>
    <t xml:space="preserve">Flipchart 21.01.</t>
  </si>
  <si>
    <t xml:space="preserve">P-007</t>
  </si>
  <si>
    <t xml:space="preserve">Ansicht wie F12</t>
  </si>
  <si>
    <t xml:space="preserve">Fertigungsübersicht identisch zu KVA-WARE Maske F12</t>
  </si>
  <si>
    <t xml:space="preserve">Interview 02, Flipchart</t>
  </si>
  <si>
    <t xml:space="preserve">Vogt</t>
  </si>
  <si>
    <t xml:space="preserve">Lösungsvorgabe statt Anforderung? vgl. A-001</t>
  </si>
  <si>
    <t xml:space="preserve">P-008</t>
  </si>
  <si>
    <t xml:space="preserve">Mehrwerksplanung</t>
  </si>
  <si>
    <t xml:space="preserve">Singen &lt;-&gt; Pilsen</t>
  </si>
  <si>
    <t xml:space="preserve">Interview 06, 11</t>
  </si>
  <si>
    <t xml:space="preserve">P-009</t>
  </si>
  <si>
    <t xml:space="preserve">Mobile Rückmeldung</t>
  </si>
  <si>
    <t xml:space="preserve">Tablet/Scanner, Menge, Ausschuss, Störgrund</t>
  </si>
  <si>
    <t xml:space="preserve">BR beachten</t>
  </si>
  <si>
    <t xml:space="preserve">P-010</t>
  </si>
  <si>
    <t xml:space="preserve">Rückmeldung personenbezogen</t>
  </si>
  <si>
    <t xml:space="preserve">Rückmeldung mit Personalnummer für Ist-Lohnkosten</t>
  </si>
  <si>
    <t xml:space="preserve">Controlling (mündl.)</t>
  </si>
  <si>
    <t xml:space="preserve">BR lehnt ab</t>
  </si>
  <si>
    <t xml:space="preserve">P-011</t>
  </si>
  <si>
    <t xml:space="preserve">Ersatz BDE-Terminals</t>
  </si>
  <si>
    <t xml:space="preserve">bis 2027</t>
  </si>
  <si>
    <t xml:space="preserve">Termin vs. Go-live</t>
  </si>
  <si>
    <t xml:space="preserve">P-012</t>
  </si>
  <si>
    <t xml:space="preserve">Fremdbearbeitung</t>
  </si>
  <si>
    <t xml:space="preserve">Beistellung, Lieferschein, Rückmeldung</t>
  </si>
  <si>
    <t xml:space="preserve">Interview 06, 07</t>
  </si>
  <si>
    <t xml:space="preserve">Frick</t>
  </si>
  <si>
    <t xml:space="preserve">P-013</t>
  </si>
  <si>
    <t xml:space="preserve">Werkzeugverwaltung</t>
  </si>
  <si>
    <t xml:space="preserve">Werkzeuge, Vorrichtungen</t>
  </si>
  <si>
    <t xml:space="preserve">Lang: KANN</t>
  </si>
  <si>
    <t xml:space="preserve">P-014</t>
  </si>
  <si>
    <t xml:space="preserve">Instandhaltung</t>
  </si>
  <si>
    <t xml:space="preserve">Wartungspläne 45 Maschinen, Störmeldungen</t>
  </si>
  <si>
    <t xml:space="preserve">Vogt: später</t>
  </si>
  <si>
    <t xml:space="preserve">P-015</t>
  </si>
  <si>
    <t xml:space="preserve">MDE/OPC UA</t>
  </si>
  <si>
    <t xml:space="preserve">Maschinendaten Verzahnung</t>
  </si>
  <si>
    <t xml:space="preserve">MES?</t>
  </si>
  <si>
    <t xml:space="preserve">P-016</t>
  </si>
  <si>
    <t xml:space="preserve">Offline-Fähigkeit</t>
  </si>
  <si>
    <t xml:space="preserve">Produktion läuft bei Internetausfall weiter</t>
  </si>
  <si>
    <t xml:space="preserve">Interview 02</t>
  </si>
  <si>
    <t xml:space="preserve">Betriebsmodell!</t>
  </si>
  <si>
    <t xml:space="preserve">P-017</t>
  </si>
  <si>
    <t xml:space="preserve">Digitale Laufkarte</t>
  </si>
  <si>
    <t xml:space="preserve">Arbeitspapiere mit Zeichnung am Arbeitsplatz</t>
  </si>
  <si>
    <t xml:space="preserve">VS-NfD-Zeichnungen?</t>
  </si>
  <si>
    <t xml:space="preserve">P-018</t>
  </si>
  <si>
    <t xml:space="preserve">Schichtplanung</t>
  </si>
  <si>
    <t xml:space="preserve">Schichtmodelle, Personalkapazität</t>
  </si>
  <si>
    <t xml:space="preserve">Parkplatz</t>
  </si>
  <si>
    <t xml:space="preserve">E-001</t>
  </si>
  <si>
    <t xml:space="preserve">Einkauf</t>
  </si>
  <si>
    <t xml:space="preserve">Rahmenverträge Einkauf</t>
  </si>
  <si>
    <t xml:space="preserve">Kontrakte, Abrufe, Lieferpläne</t>
  </si>
  <si>
    <t xml:space="preserve">Interview 07</t>
  </si>
  <si>
    <t xml:space="preserve">E-002</t>
  </si>
  <si>
    <t xml:space="preserve">Bestellvorschläge</t>
  </si>
  <si>
    <t xml:space="preserve">Losgrößen, Staffeln, Mindestmengen</t>
  </si>
  <si>
    <t xml:space="preserve">vgl. P-003</t>
  </si>
  <si>
    <t xml:space="preserve">E-003</t>
  </si>
  <si>
    <t xml:space="preserve">Auftragsbestätigungen</t>
  </si>
  <si>
    <t xml:space="preserve">Erfassung, Terminabweichung</t>
  </si>
  <si>
    <t xml:space="preserve">E-004</t>
  </si>
  <si>
    <t xml:space="preserve">Metallzuschläge</t>
  </si>
  <si>
    <t xml:space="preserve">Automatisch nach Index, EK und VK</t>
  </si>
  <si>
    <t xml:space="preserve">E-005</t>
  </si>
  <si>
    <t xml:space="preserve">Lieferantenportal</t>
  </si>
  <si>
    <t xml:space="preserve">Bestellungen, AB, Avis</t>
  </si>
  <si>
    <t xml:space="preserve">E-006</t>
  </si>
  <si>
    <t xml:space="preserve">Lieferantenbewertung</t>
  </si>
  <si>
    <t xml:space="preserve">automatisch</t>
  </si>
  <si>
    <t xml:space="preserve">E-007</t>
  </si>
  <si>
    <t xml:space="preserve">Anfrage/Angebotsvergleich</t>
  </si>
  <si>
    <t xml:space="preserve">E-008</t>
  </si>
  <si>
    <t xml:space="preserve">3-Way-Match</t>
  </si>
  <si>
    <t xml:space="preserve">Bestellung-WE-Rechnung</t>
  </si>
  <si>
    <t xml:space="preserve">vgl. F-008</t>
  </si>
  <si>
    <t xml:space="preserve">E-009</t>
  </si>
  <si>
    <t xml:space="preserve">Zentraleinkauf Pilsen</t>
  </si>
  <si>
    <t xml:space="preserve">Bündelung</t>
  </si>
  <si>
    <t xml:space="preserve">E-010</t>
  </si>
  <si>
    <t xml:space="preserve">EDI Lieferanten</t>
  </si>
  <si>
    <t xml:space="preserve">Top 5</t>
  </si>
  <si>
    <t xml:space="preserve">E-011</t>
  </si>
  <si>
    <t xml:space="preserve">CO2-Fußabdruck</t>
  </si>
  <si>
    <t xml:space="preserve">Produkt-CO2 für Kundenanfragen</t>
  </si>
  <si>
    <t xml:space="preserve">gehört ins ERP?</t>
  </si>
  <si>
    <t xml:space="preserve">L-001</t>
  </si>
  <si>
    <t xml:space="preserve">Lager</t>
  </si>
  <si>
    <t xml:space="preserve">Lagerplatzverwaltung</t>
  </si>
  <si>
    <t xml:space="preserve">Feste + chaotische Plätze, Platzvorschlag</t>
  </si>
  <si>
    <t xml:space="preserve">L-002</t>
  </si>
  <si>
    <t xml:space="preserve">Scanner/MDE</t>
  </si>
  <si>
    <t xml:space="preserve">WE, Umlagerung, Kommissionierung per Scan</t>
  </si>
  <si>
    <t xml:space="preserve">L-003</t>
  </si>
  <si>
    <t xml:space="preserve">Kardex-Anbindung</t>
  </si>
  <si>
    <t xml:space="preserve">Lagerlift-Schnittstelle</t>
  </si>
  <si>
    <t xml:space="preserve">2015: nice to have</t>
  </si>
  <si>
    <t xml:space="preserve">L-004</t>
  </si>
  <si>
    <t xml:space="preserve">Permanente Inventur</t>
  </si>
  <si>
    <t xml:space="preserve">L-005</t>
  </si>
  <si>
    <t xml:space="preserve">Versand/Carrier</t>
  </si>
  <si>
    <t xml:space="preserve">DHL, DPD, UPS, Spedition, Labels, Packliste</t>
  </si>
  <si>
    <t xml:space="preserve">L-006</t>
  </si>
  <si>
    <t xml:space="preserve">Zoll/ATLAS</t>
  </si>
  <si>
    <t xml:space="preserve">Exportdokumente, Schweiz</t>
  </si>
  <si>
    <t xml:space="preserve">L-007</t>
  </si>
  <si>
    <t xml:space="preserve">Umlagerung Werke</t>
  </si>
  <si>
    <t xml:space="preserve">Singen &lt;-&gt; Pilsen als Umlagerung/IC</t>
  </si>
  <si>
    <t xml:space="preserve">Interview 08, 11</t>
  </si>
  <si>
    <t xml:space="preserve">L-008</t>
  </si>
  <si>
    <t xml:space="preserve">Seriennummern nur Sonder</t>
  </si>
  <si>
    <t xml:space="preserve">Seriennummern nur für Sonderantriebe</t>
  </si>
  <si>
    <t xml:space="preserve">Interview 08, 02</t>
  </si>
  <si>
    <t xml:space="preserve">Hummel, Vogt</t>
  </si>
  <si>
    <t xml:space="preserve">Widerspruch S-001, Q-002</t>
  </si>
  <si>
    <t xml:space="preserve">L-009</t>
  </si>
  <si>
    <t xml:space="preserve">Einfache Oberfläche</t>
  </si>
  <si>
    <t xml:space="preserve">Große Schaltflächen, wenige Klicks</t>
  </si>
  <si>
    <t xml:space="preserve">L-010</t>
  </si>
  <si>
    <t xml:space="preserve">Sprachen Lager</t>
  </si>
  <si>
    <t xml:space="preserve">Rumänisch/Türkisch</t>
  </si>
  <si>
    <t xml:space="preserve">S-001</t>
  </si>
  <si>
    <t xml:space="preserve">Service</t>
  </si>
  <si>
    <t xml:space="preserve">Seriennummern alle Antriebe</t>
  </si>
  <si>
    <t xml:space="preserve">Installed Base für alle ausgelieferten Antriebe</t>
  </si>
  <si>
    <t xml:space="preserve">Interview 09</t>
  </si>
  <si>
    <t xml:space="preserve">Seitz</t>
  </si>
  <si>
    <t xml:space="preserve">vgl. L-008</t>
  </si>
  <si>
    <t xml:space="preserve">S-002</t>
  </si>
  <si>
    <t xml:space="preserve">Installed Base Migration</t>
  </si>
  <si>
    <t xml:space="preserve">Fertigungsnummern seit 2005 übernehmen</t>
  </si>
  <si>
    <t xml:space="preserve">S-003</t>
  </si>
  <si>
    <t xml:space="preserve">Serviceaufträge Werkstatt</t>
  </si>
  <si>
    <t xml:space="preserve">Befundung, KVA, Freigabe, Abrechnung</t>
  </si>
  <si>
    <t xml:space="preserve">S-004</t>
  </si>
  <si>
    <t xml:space="preserve">Field Service mobil offline</t>
  </si>
  <si>
    <t xml:space="preserve">Einsatzplanung, App, Berichte, Unterschrift</t>
  </si>
  <si>
    <t xml:space="preserve">ggf. Drittsystem</t>
  </si>
  <si>
    <t xml:space="preserve">S-005</t>
  </si>
  <si>
    <t xml:space="preserve">Wartungsverträge</t>
  </si>
  <si>
    <t xml:space="preserve">Intervalle, Auto-Auftrag, Vertragsabrechnung</t>
  </si>
  <si>
    <t xml:space="preserve">S-006</t>
  </si>
  <si>
    <t xml:space="preserve">Ersatzteilshop / Portal</t>
  </si>
  <si>
    <t xml:space="preserve">QR-Code Typenschild -&gt; Ersatzteile</t>
  </si>
  <si>
    <t xml:space="preserve">vgl. V-009</t>
  </si>
  <si>
    <t xml:space="preserve">S-007</t>
  </si>
  <si>
    <t xml:space="preserve">Garantie/Kulanz</t>
  </si>
  <si>
    <t xml:space="preserve">Fehlercodes, Auswertung</t>
  </si>
  <si>
    <t xml:space="preserve">S-008</t>
  </si>
  <si>
    <t xml:space="preserve">IoT-Anbindung</t>
  </si>
  <si>
    <t xml:space="preserve">Schnittstelle Zustandsdaten</t>
  </si>
  <si>
    <t xml:space="preserve">Q-001</t>
  </si>
  <si>
    <t xml:space="preserve">Qualität</t>
  </si>
  <si>
    <t xml:space="preserve">Chargenverfolgung</t>
  </si>
  <si>
    <t xml:space="preserve">Guss, Härten, kritische Kaufteile vor-/rückwärts</t>
  </si>
  <si>
    <t xml:space="preserve">Interview 10</t>
  </si>
  <si>
    <t xml:space="preserve">Rieger</t>
  </si>
  <si>
    <t xml:space="preserve">Q-002</t>
  </si>
  <si>
    <t xml:space="preserve">Seriennummer alle Antriebe</t>
  </si>
  <si>
    <t xml:space="preserve">mind. Bahn, Wehr, Kran</t>
  </si>
  <si>
    <t xml:space="preserve">Q-003</t>
  </si>
  <si>
    <t xml:space="preserve">Prüfplanung</t>
  </si>
  <si>
    <t xml:space="preserve">WE, Fertigung, Endprüfung</t>
  </si>
  <si>
    <t xml:space="preserve">Q-004</t>
  </si>
  <si>
    <t xml:space="preserve">Prüfmittelverwaltung</t>
  </si>
  <si>
    <t xml:space="preserve">1.400 Prüfmittel</t>
  </si>
  <si>
    <t xml:space="preserve">2015: bleibt Excel</t>
  </si>
  <si>
    <t xml:space="preserve">Q-005</t>
  </si>
  <si>
    <t xml:space="preserve">Reklamation 8D</t>
  </si>
  <si>
    <t xml:space="preserve">Kunde &amp; Lieferant</t>
  </si>
  <si>
    <t xml:space="preserve">Q-006</t>
  </si>
  <si>
    <t xml:space="preserve">Zeugnisse 3.1</t>
  </si>
  <si>
    <t xml:space="preserve">am WE hinterlegen, an Kunden</t>
  </si>
  <si>
    <t xml:space="preserve">Q-007</t>
  </si>
  <si>
    <t xml:space="preserve">Chargen</t>
  </si>
  <si>
    <t xml:space="preserve">Chargenführung Gussgehäuse</t>
  </si>
  <si>
    <t xml:space="preserve">Dublette Q-001?</t>
  </si>
  <si>
    <t xml:space="preserve">T-001</t>
  </si>
  <si>
    <t xml:space="preserve">IT</t>
  </si>
  <si>
    <t xml:space="preserve">Betriebsmodell SaaS</t>
  </si>
  <si>
    <t xml:space="preserve">Public Cloud SaaS, EU-RZ</t>
  </si>
  <si>
    <t xml:space="preserve">Lenkungskreis: beide bewerten</t>
  </si>
  <si>
    <t xml:space="preserve">T-002</t>
  </si>
  <si>
    <t xml:space="preserve">Betriebsmodell Private Cloud/On-Prem</t>
  </si>
  <si>
    <t xml:space="preserve">Hosting DE oder On-Prem</t>
  </si>
  <si>
    <t xml:space="preserve">Interview 04</t>
  </si>
  <si>
    <t xml:space="preserve">vgl. T-001</t>
  </si>
  <si>
    <t xml:space="preserve">T-003</t>
  </si>
  <si>
    <t xml:space="preserve">SSO Entra ID</t>
  </si>
  <si>
    <t xml:space="preserve">SSO, MFA</t>
  </si>
  <si>
    <t xml:space="preserve">T-004</t>
  </si>
  <si>
    <t xml:space="preserve">Offene APIs</t>
  </si>
  <si>
    <t xml:space="preserve">REST/OData, Events</t>
  </si>
  <si>
    <t xml:space="preserve">T-005</t>
  </si>
  <si>
    <t xml:space="preserve">Datenhaltung DE</t>
  </si>
  <si>
    <t xml:space="preserve">Für Wehrtechnik ggf. Datenhaltung in DE, Betrieb durch DE-Personal</t>
  </si>
  <si>
    <t xml:space="preserve">Mail Brenner 21.01.</t>
  </si>
  <si>
    <t xml:space="preserve">künftige Anforderung?</t>
  </si>
  <si>
    <t xml:space="preserve">T-006</t>
  </si>
  <si>
    <t xml:space="preserve">Shopfloor-Lizenzen</t>
  </si>
  <si>
    <t xml:space="preserve">Günstige Lizenzen für ~210 Rückmelder</t>
  </si>
  <si>
    <t xml:space="preserve">T-007</t>
  </si>
  <si>
    <t xml:space="preserve">Migration</t>
  </si>
  <si>
    <t xml:space="preserve">Stichtagsmigration Stammdaten, OP, Bestände</t>
  </si>
  <si>
    <t xml:space="preserve">T-008</t>
  </si>
  <si>
    <t xml:space="preserve">Release-Fähigkeit</t>
  </si>
  <si>
    <t xml:space="preserve">Updates ohne Anpassungsaufwand</t>
  </si>
  <si>
    <t xml:space="preserve">T-009</t>
  </si>
  <si>
    <t xml:space="preserve">NIS2/ISMS</t>
  </si>
  <si>
    <t xml:space="preserve">Anbieter mit ISO 27001</t>
  </si>
  <si>
    <t xml:space="preserve">T-010</t>
  </si>
  <si>
    <t xml:space="preserve">Partner CZ</t>
  </si>
  <si>
    <t xml:space="preserve">Implementierungspartner mit CZ-Präsenz</t>
  </si>
  <si>
    <t xml:space="preserve">T-011</t>
  </si>
  <si>
    <t xml:space="preserve">Mittelstandsanbieter</t>
  </si>
  <si>
    <t xml:space="preserve">Anbieter mit Fokus Mittelstand Fertigung, Süddeutschland</t>
  </si>
  <si>
    <t xml:space="preserve">Präferenz, keine Anforderung?</t>
  </si>
  <si>
    <t xml:space="preserve">B-001</t>
  </si>
  <si>
    <t xml:space="preserve">Betriebsrat</t>
  </si>
  <si>
    <t xml:space="preserve">Keine Leistungskontrolle</t>
  </si>
  <si>
    <t xml:space="preserve">Keine personenbezogenen Auswertungen &lt; 5 Personen</t>
  </si>
  <si>
    <t xml:space="preserve">Interview 12, BR-Schreiben</t>
  </si>
  <si>
    <t xml:space="preserve">Kolb</t>
  </si>
  <si>
    <t xml:space="preserve">vgl. P-010</t>
  </si>
  <si>
    <t xml:space="preserve">B-002</t>
  </si>
  <si>
    <t xml:space="preserve">Schulung mehrsprachig</t>
  </si>
  <si>
    <t xml:space="preserve">Lernplattform, Schulung in Arbeitszeit</t>
  </si>
  <si>
    <t xml:space="preserve">Interview 12</t>
  </si>
  <si>
    <t xml:space="preserve">B-003</t>
  </si>
  <si>
    <t xml:space="preserve">Transparenz Datenverarbeitung</t>
  </si>
  <si>
    <t xml:space="preserve">Ort der Verarbeitung, Unterauftragsverarbeiter</t>
  </si>
  <si>
    <t xml:space="preserve">BR-Schreiben</t>
  </si>
  <si>
    <t xml:space="preserve">X-001</t>
  </si>
  <si>
    <t xml:space="preserve">Termin</t>
  </si>
  <si>
    <t xml:space="preserve">Go-live Singen</t>
  </si>
  <si>
    <t xml:space="preserve">01.01.2028</t>
  </si>
  <si>
    <t xml:space="preserve">IT: Mitte 2028; Vogt: 'klappt nicht'</t>
  </si>
  <si>
    <t xml:space="preserve">X-002</t>
  </si>
  <si>
    <t xml:space="preserve">Pilsen Lösung bis 31.12.2026</t>
  </si>
  <si>
    <t xml:space="preserve">NAV-Partner kündigt</t>
  </si>
  <si>
    <t xml:space="preserve">Mail Nováková 04.02.</t>
  </si>
  <si>
    <t xml:space="preserve">Projektauftrag: 2029</t>
  </si>
  <si>
    <t xml:space="preserve">X-003</t>
  </si>
  <si>
    <t xml:space="preserve">Budget</t>
  </si>
  <si>
    <t xml:space="preserve">1,2 Mio. € (Projektauftrag) / &lt;1 Mio (Kessler) / TCO 5J 1,5 Mio (Haller)</t>
  </si>
  <si>
    <t xml:space="preserve">diverse</t>
  </si>
  <si>
    <t xml:space="preserve">LK</t>
  </si>
  <si>
    <t xml:space="preserve">LK 18.02.: Methode TCO 5J, Obergrenze offen</t>
  </si>
  <si>
    <t xml:space="preserve">Anzahl</t>
  </si>
  <si>
    <t xml:space="preserve">Gesamt</t>
  </si>
  <si>
    <t xml:space="preserve">Größe</t>
  </si>
  <si>
    <t xml:space="preserve">Wert</t>
  </si>
  <si>
    <t xml:space="preserve">Einheit</t>
  </si>
  <si>
    <t xml:space="preserve">Datum</t>
  </si>
  <si>
    <t xml:space="preserve">Anmerkung</t>
  </si>
  <si>
    <t xml:space="preserve">Mitarbeitende Gruppe</t>
  </si>
  <si>
    <t xml:space="preserve">Personen</t>
  </si>
  <si>
    <t xml:space="preserve">Unternehmensprofil</t>
  </si>
  <si>
    <t xml:space="preserve">02/2026</t>
  </si>
  <si>
    <t xml:space="preserve">Mitarbeitende Gruppe (FTE Ø 2025)</t>
  </si>
  <si>
    <t xml:space="preserve">FTE</t>
  </si>
  <si>
    <t xml:space="preserve">Controlling</t>
  </si>
  <si>
    <t xml:space="preserve">01/2026</t>
  </si>
  <si>
    <t xml:space="preserve">Mitarbeitende Pilsen</t>
  </si>
  <si>
    <t xml:space="preserve">Unternehmensprofil / Interview 11</t>
  </si>
  <si>
    <t xml:space="preserve">inkl. 14 Leiharbeiter</t>
  </si>
  <si>
    <t xml:space="preserve">ERP-Nutzer gesamt</t>
  </si>
  <si>
    <t xml:space="preserve">Named User</t>
  </si>
  <si>
    <t xml:space="preserve">11/2025</t>
  </si>
  <si>
    <t xml:space="preserve">Singen 140, Pilsen 35, CH 5</t>
  </si>
  <si>
    <t xml:space="preserve">Interview 04 Brenner</t>
  </si>
  <si>
    <t xml:space="preserve">inkl. Lager, Meister, Techniker</t>
  </si>
  <si>
    <t xml:space="preserve">ERP-Nutzer gleichzeitig</t>
  </si>
  <si>
    <t xml:space="preserve">Concurrent</t>
  </si>
  <si>
    <t xml:space="preserve">KVA-WARE Nutzer heute</t>
  </si>
  <si>
    <t xml:space="preserve">User</t>
  </si>
  <si>
    <t xml:space="preserve">NAV-Nutzer Pilsen heute</t>
  </si>
  <si>
    <t xml:space="preserve">IT-Architektur / Interview 11</t>
  </si>
  <si>
    <t xml:space="preserve">Nutzer Pilsen künftig</t>
  </si>
  <si>
    <t xml:space="preserve">mit 3. Linie</t>
  </si>
  <si>
    <t xml:space="preserve">Shopfloor-Rückmelder</t>
  </si>
  <si>
    <t xml:space="preserve">Salesforce-Lizenzen</t>
  </si>
  <si>
    <t xml:space="preserve">Lizenzen</t>
  </si>
  <si>
    <t xml:space="preserve">Außendienst Vertrieb</t>
  </si>
  <si>
    <t xml:space="preserve">Artikel aktiv</t>
  </si>
  <si>
    <t xml:space="preserve">Artikel</t>
  </si>
  <si>
    <t xml:space="preserve">Artikel gesamt inkl. inaktiv</t>
  </si>
  <si>
    <t xml:space="preserve">03/2015</t>
  </si>
  <si>
    <t xml:space="preserve">veraltet</t>
  </si>
  <si>
    <t xml:space="preserve">Kaufteile aktiv (disponiert)</t>
  </si>
  <si>
    <t xml:space="preserve">Stücklisten</t>
  </si>
  <si>
    <t xml:space="preserve">Stück</t>
  </si>
  <si>
    <t xml:space="preserve">Prozess P2P / Interview 04</t>
  </si>
  <si>
    <t xml:space="preserve">60 % ungenutzt (Schätzung)</t>
  </si>
  <si>
    <t xml:space="preserve">Kunden aktiv</t>
  </si>
  <si>
    <t xml:space="preserve">Kunden</t>
  </si>
  <si>
    <t xml:space="preserve">Lieferanten aktiv</t>
  </si>
  <si>
    <t xml:space="preserve">Lieferanten</t>
  </si>
  <si>
    <t xml:space="preserve">Prozess P2P</t>
  </si>
  <si>
    <t xml:space="preserve">Angebote p. a.</t>
  </si>
  <si>
    <t xml:space="preserve">Kundenaufträge p. a.</t>
  </si>
  <si>
    <t xml:space="preserve">davon Sonderantriebe</t>
  </si>
  <si>
    <t xml:space="preserve">Aufträge</t>
  </si>
  <si>
    <t xml:space="preserve">Controlling: 94 abgeschl. Projekte 2025</t>
  </si>
  <si>
    <t xml:space="preserve">Auftragspositionen p. a.</t>
  </si>
  <si>
    <t xml:space="preserve">Positionen</t>
  </si>
  <si>
    <t xml:space="preserve">Ausgangsrechnungen p. a.</t>
  </si>
  <si>
    <t xml:space="preserve">Bestellungen p. a.</t>
  </si>
  <si>
    <t xml:space="preserve">Fertigungsaufträge Singen p. a.</t>
  </si>
  <si>
    <t xml:space="preserve">FA</t>
  </si>
  <si>
    <t xml:space="preserve">Prozess Plan-to-Produce</t>
  </si>
  <si>
    <t xml:space="preserve">ohne Nacharbeit?</t>
  </si>
  <si>
    <t xml:space="preserve">Fertigungsaufträge Pilsen p. a.</t>
  </si>
  <si>
    <t xml:space="preserve">BDE-Buchungen pro Tag</t>
  </si>
  <si>
    <t xml:space="preserve">Buchungen</t>
  </si>
  <si>
    <t xml:space="preserve">Getriebe gefertigt p. a.</t>
  </si>
  <si>
    <t xml:space="preserve">Interview 08 (Anm. LH)</t>
  </si>
  <si>
    <t xml:space="preserve">Lager nennt 30.000</t>
  </si>
  <si>
    <t xml:space="preserve">Lagerplätze Singen</t>
  </si>
  <si>
    <t xml:space="preserve">Plätze</t>
  </si>
  <si>
    <t xml:space="preserve">Prozess Lager</t>
  </si>
  <si>
    <t xml:space="preserve">Hummel: eher 5.200</t>
  </si>
  <si>
    <t xml:space="preserve">Sendungen pro Tag</t>
  </si>
  <si>
    <t xml:space="preserve">Sendungen</t>
  </si>
  <si>
    <t xml:space="preserve">Ausgelieferte Antriebe seit 1990</t>
  </si>
  <si>
    <t xml:space="preserve">ca. 60.000 im Einsatz</t>
  </si>
  <si>
    <t xml:space="preserve">Servicetechniker</t>
  </si>
  <si>
    <t xml:space="preserve">6 DE + 2 CH</t>
  </si>
  <si>
    <t xml:space="preserve">Verträge</t>
  </si>
  <si>
    <t xml:space="preserve">Prozess Service</t>
  </si>
  <si>
    <t xml:space="preserve">Ziel 2030: 300</t>
  </si>
  <si>
    <t xml:space="preserve">Prüfmittel</t>
  </si>
  <si>
    <t xml:space="preserve">Maschinen (Instandhaltung)</t>
  </si>
  <si>
    <t xml:space="preserve">Maschinen</t>
  </si>
  <si>
    <t xml:space="preserve">Umsatz Gruppe 2025</t>
  </si>
  <si>
    <t xml:space="preserve">Mio. €</t>
  </si>
  <si>
    <t xml:space="preserve">Summe Einzelabschlüsse</t>
  </si>
  <si>
    <t xml:space="preserve">konsolidiert, ohne CH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</si>
</sst>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55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34"/>
  </cols>
  <sheetData>
    <row r="1" customFormat="false" ht="39.5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</row>
    <row r="2" customFormat="false" ht="23.85" hidden="false" customHeight="false" outlineLevel="0" collapsed="false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/>
    </row>
    <row r="3" customFormat="false" ht="15" hidden="false" customHeight="false" outlineLevel="0" collapsed="false">
      <c r="A3" s="5" t="s">
        <v>26</v>
      </c>
      <c r="B3" s="5" t="s">
        <v>19</v>
      </c>
      <c r="C3" s="5" t="s">
        <v>27</v>
      </c>
      <c r="D3" s="5" t="s">
        <v>28</v>
      </c>
      <c r="E3" s="5" t="s">
        <v>22</v>
      </c>
      <c r="F3" s="5" t="s">
        <v>29</v>
      </c>
      <c r="G3" s="5" t="s">
        <v>30</v>
      </c>
      <c r="H3" s="5" t="s">
        <v>31</v>
      </c>
      <c r="I3" s="5" t="s">
        <v>32</v>
      </c>
    </row>
    <row r="4" customFormat="false" ht="15" hidden="false" customHeight="false" outlineLevel="0" collapsed="false">
      <c r="A4" s="5" t="s">
        <v>33</v>
      </c>
      <c r="B4" s="5" t="s">
        <v>19</v>
      </c>
      <c r="C4" s="5" t="s">
        <v>34</v>
      </c>
      <c r="D4" s="5" t="s">
        <v>35</v>
      </c>
      <c r="E4" s="5" t="s">
        <v>22</v>
      </c>
      <c r="F4" s="5" t="s">
        <v>23</v>
      </c>
      <c r="G4" s="5" t="s">
        <v>36</v>
      </c>
      <c r="H4" s="5" t="s">
        <v>25</v>
      </c>
      <c r="I4" s="5" t="s">
        <v>37</v>
      </c>
    </row>
    <row r="5" customFormat="false" ht="15" hidden="false" customHeight="false" outlineLevel="0" collapsed="false">
      <c r="A5" s="5" t="s">
        <v>38</v>
      </c>
      <c r="B5" s="5" t="s">
        <v>19</v>
      </c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31</v>
      </c>
      <c r="I5" s="5"/>
    </row>
    <row r="6" customFormat="false" ht="15" hidden="false" customHeight="false" outlineLevel="0" collapsed="false">
      <c r="A6" s="5" t="s">
        <v>44</v>
      </c>
      <c r="B6" s="5" t="s">
        <v>19</v>
      </c>
      <c r="C6" s="5" t="s">
        <v>45</v>
      </c>
      <c r="D6" s="5" t="s">
        <v>46</v>
      </c>
      <c r="E6" s="5" t="s">
        <v>22</v>
      </c>
      <c r="F6" s="5" t="s">
        <v>47</v>
      </c>
      <c r="G6" s="5" t="s">
        <v>48</v>
      </c>
      <c r="H6" s="5" t="s">
        <v>31</v>
      </c>
      <c r="I6" s="5"/>
    </row>
    <row r="7" customFormat="false" ht="15" hidden="false" customHeight="false" outlineLevel="0" collapsed="false">
      <c r="A7" s="5" t="s">
        <v>49</v>
      </c>
      <c r="B7" s="5" t="s">
        <v>19</v>
      </c>
      <c r="C7" s="5" t="s">
        <v>50</v>
      </c>
      <c r="D7" s="5" t="s">
        <v>51</v>
      </c>
      <c r="E7" s="5" t="s">
        <v>52</v>
      </c>
      <c r="F7" s="5" t="s">
        <v>53</v>
      </c>
      <c r="G7" s="5" t="s">
        <v>24</v>
      </c>
      <c r="H7" s="5" t="s">
        <v>31</v>
      </c>
      <c r="I7" s="5"/>
    </row>
    <row r="8" customFormat="false" ht="23.85" hidden="false" customHeight="false" outlineLevel="0" collapsed="false">
      <c r="A8" s="5" t="s">
        <v>54</v>
      </c>
      <c r="B8" s="5" t="s">
        <v>19</v>
      </c>
      <c r="C8" s="5" t="s">
        <v>55</v>
      </c>
      <c r="D8" s="5" t="s">
        <v>56</v>
      </c>
      <c r="E8" s="5" t="s">
        <v>57</v>
      </c>
      <c r="F8" s="5" t="s">
        <v>53</v>
      </c>
      <c r="G8" s="5" t="s">
        <v>24</v>
      </c>
      <c r="H8" s="5" t="s">
        <v>31</v>
      </c>
      <c r="I8" s="5" t="s">
        <v>58</v>
      </c>
    </row>
    <row r="9" customFormat="false" ht="15" hidden="false" customHeight="false" outlineLevel="0" collapsed="false">
      <c r="A9" s="6" t="s">
        <v>59</v>
      </c>
      <c r="B9" s="6" t="s">
        <v>19</v>
      </c>
      <c r="C9" s="6" t="s">
        <v>60</v>
      </c>
      <c r="D9" s="6" t="s">
        <v>61</v>
      </c>
      <c r="E9" s="6" t="s">
        <v>22</v>
      </c>
      <c r="F9" s="6" t="s">
        <v>53</v>
      </c>
      <c r="G9" s="6" t="s">
        <v>24</v>
      </c>
      <c r="H9" s="6" t="s">
        <v>62</v>
      </c>
      <c r="I9" s="6" t="s">
        <v>63</v>
      </c>
    </row>
    <row r="10" customFormat="false" ht="15" hidden="false" customHeight="false" outlineLevel="0" collapsed="false">
      <c r="A10" s="6" t="s">
        <v>64</v>
      </c>
      <c r="B10" s="6" t="s">
        <v>19</v>
      </c>
      <c r="C10" s="6" t="s">
        <v>65</v>
      </c>
      <c r="D10" s="6" t="s">
        <v>66</v>
      </c>
      <c r="E10" s="6" t="s">
        <v>22</v>
      </c>
      <c r="F10" s="6" t="s">
        <v>67</v>
      </c>
      <c r="G10" s="6" t="s">
        <v>68</v>
      </c>
      <c r="H10" s="6" t="s">
        <v>62</v>
      </c>
      <c r="I10" s="6" t="s">
        <v>69</v>
      </c>
    </row>
    <row r="11" customFormat="false" ht="15" hidden="false" customHeight="false" outlineLevel="0" collapsed="false">
      <c r="A11" s="5" t="s">
        <v>70</v>
      </c>
      <c r="B11" s="5" t="s">
        <v>19</v>
      </c>
      <c r="C11" s="5" t="s">
        <v>71</v>
      </c>
      <c r="D11" s="5" t="s">
        <v>72</v>
      </c>
      <c r="E11" s="5" t="s">
        <v>22</v>
      </c>
      <c r="F11" s="5" t="s">
        <v>73</v>
      </c>
      <c r="G11" s="5" t="s">
        <v>74</v>
      </c>
      <c r="H11" s="5" t="s">
        <v>75</v>
      </c>
      <c r="I11" s="5" t="s">
        <v>76</v>
      </c>
    </row>
    <row r="12" customFormat="false" ht="15" hidden="false" customHeight="false" outlineLevel="0" collapsed="false">
      <c r="A12" s="5" t="s">
        <v>77</v>
      </c>
      <c r="B12" s="5" t="s">
        <v>78</v>
      </c>
      <c r="C12" s="5" t="s">
        <v>79</v>
      </c>
      <c r="D12" s="5" t="s">
        <v>80</v>
      </c>
      <c r="E12" s="5" t="s">
        <v>22</v>
      </c>
      <c r="F12" s="5" t="s">
        <v>47</v>
      </c>
      <c r="G12" s="5" t="s">
        <v>48</v>
      </c>
      <c r="H12" s="5" t="s">
        <v>25</v>
      </c>
      <c r="I12" s="5"/>
    </row>
    <row r="13" customFormat="false" ht="15" hidden="false" customHeight="false" outlineLevel="0" collapsed="false">
      <c r="A13" s="5" t="s">
        <v>81</v>
      </c>
      <c r="B13" s="5" t="s">
        <v>78</v>
      </c>
      <c r="C13" s="5" t="s">
        <v>82</v>
      </c>
      <c r="D13" s="5" t="s">
        <v>83</v>
      </c>
      <c r="E13" s="5" t="s">
        <v>22</v>
      </c>
      <c r="F13" s="5" t="s">
        <v>47</v>
      </c>
      <c r="G13" s="5" t="s">
        <v>48</v>
      </c>
      <c r="H13" s="5" t="s">
        <v>31</v>
      </c>
      <c r="I13" s="5" t="s">
        <v>84</v>
      </c>
    </row>
    <row r="14" customFormat="false" ht="15" hidden="false" customHeight="false" outlineLevel="0" collapsed="false">
      <c r="A14" s="5" t="s">
        <v>85</v>
      </c>
      <c r="B14" s="5" t="s">
        <v>78</v>
      </c>
      <c r="C14" s="5" t="s">
        <v>86</v>
      </c>
      <c r="D14" s="5" t="s">
        <v>87</v>
      </c>
      <c r="E14" s="5" t="s">
        <v>22</v>
      </c>
      <c r="F14" s="5" t="s">
        <v>47</v>
      </c>
      <c r="G14" s="5" t="s">
        <v>48</v>
      </c>
      <c r="H14" s="5" t="s">
        <v>25</v>
      </c>
      <c r="I14" s="5" t="s">
        <v>88</v>
      </c>
    </row>
    <row r="15" customFormat="false" ht="15" hidden="false" customHeight="false" outlineLevel="0" collapsed="false">
      <c r="A15" s="5" t="s">
        <v>89</v>
      </c>
      <c r="B15" s="5" t="s">
        <v>78</v>
      </c>
      <c r="C15" s="5" t="s">
        <v>90</v>
      </c>
      <c r="D15" s="5" t="s">
        <v>91</v>
      </c>
      <c r="E15" s="5" t="s">
        <v>22</v>
      </c>
      <c r="F15" s="5" t="s">
        <v>47</v>
      </c>
      <c r="G15" s="5" t="s">
        <v>48</v>
      </c>
      <c r="H15" s="5" t="s">
        <v>25</v>
      </c>
      <c r="I15" s="5"/>
    </row>
    <row r="16" customFormat="false" ht="15" hidden="false" customHeight="false" outlineLevel="0" collapsed="false">
      <c r="A16" s="5" t="s">
        <v>92</v>
      </c>
      <c r="B16" s="5" t="s">
        <v>78</v>
      </c>
      <c r="C16" s="5" t="s">
        <v>93</v>
      </c>
      <c r="D16" s="5" t="s">
        <v>94</v>
      </c>
      <c r="E16" s="5" t="s">
        <v>22</v>
      </c>
      <c r="F16" s="5" t="s">
        <v>23</v>
      </c>
      <c r="G16" s="5" t="s">
        <v>48</v>
      </c>
      <c r="H16" s="5" t="s">
        <v>25</v>
      </c>
      <c r="I16" s="5"/>
    </row>
    <row r="17" customFormat="false" ht="15" hidden="false" customHeight="false" outlineLevel="0" collapsed="false">
      <c r="A17" s="5" t="s">
        <v>95</v>
      </c>
      <c r="B17" s="5" t="s">
        <v>78</v>
      </c>
      <c r="C17" s="5" t="s">
        <v>96</v>
      </c>
      <c r="D17" s="5" t="s">
        <v>97</v>
      </c>
      <c r="E17" s="5" t="s">
        <v>22</v>
      </c>
      <c r="F17" s="5" t="s">
        <v>98</v>
      </c>
      <c r="G17" s="5" t="s">
        <v>99</v>
      </c>
      <c r="H17" s="5" t="s">
        <v>25</v>
      </c>
      <c r="I17" s="5"/>
    </row>
    <row r="18" customFormat="false" ht="15" hidden="false" customHeight="false" outlineLevel="0" collapsed="false">
      <c r="A18" s="5" t="s">
        <v>100</v>
      </c>
      <c r="B18" s="5" t="s">
        <v>78</v>
      </c>
      <c r="C18" s="5" t="s">
        <v>101</v>
      </c>
      <c r="D18" s="5" t="s">
        <v>102</v>
      </c>
      <c r="E18" s="5" t="s">
        <v>22</v>
      </c>
      <c r="F18" s="5" t="s">
        <v>47</v>
      </c>
      <c r="G18" s="5" t="s">
        <v>48</v>
      </c>
      <c r="H18" s="5" t="s">
        <v>31</v>
      </c>
      <c r="I18" s="5" t="s">
        <v>103</v>
      </c>
    </row>
    <row r="19" customFormat="false" ht="15" hidden="false" customHeight="false" outlineLevel="0" collapsed="false">
      <c r="A19" s="5" t="s">
        <v>104</v>
      </c>
      <c r="B19" s="5" t="s">
        <v>78</v>
      </c>
      <c r="C19" s="5" t="s">
        <v>105</v>
      </c>
      <c r="D19" s="5" t="s">
        <v>106</v>
      </c>
      <c r="E19" s="5" t="s">
        <v>22</v>
      </c>
      <c r="F19" s="5" t="s">
        <v>47</v>
      </c>
      <c r="G19" s="5" t="s">
        <v>48</v>
      </c>
      <c r="H19" s="5" t="s">
        <v>31</v>
      </c>
      <c r="I19" s="5" t="s">
        <v>107</v>
      </c>
    </row>
    <row r="20" customFormat="false" ht="15" hidden="false" customHeight="false" outlineLevel="0" collapsed="false">
      <c r="A20" s="5" t="s">
        <v>108</v>
      </c>
      <c r="B20" s="5" t="s">
        <v>78</v>
      </c>
      <c r="C20" s="5" t="s">
        <v>109</v>
      </c>
      <c r="D20" s="5" t="s">
        <v>110</v>
      </c>
      <c r="E20" s="5" t="s">
        <v>22</v>
      </c>
      <c r="F20" s="5" t="s">
        <v>47</v>
      </c>
      <c r="G20" s="5" t="s">
        <v>111</v>
      </c>
      <c r="H20" s="5" t="s">
        <v>31</v>
      </c>
      <c r="I20" s="5" t="s">
        <v>112</v>
      </c>
    </row>
    <row r="21" customFormat="false" ht="15" hidden="false" customHeight="false" outlineLevel="0" collapsed="false">
      <c r="A21" s="5" t="s">
        <v>113</v>
      </c>
      <c r="B21" s="5" t="s">
        <v>78</v>
      </c>
      <c r="C21" s="5" t="s">
        <v>114</v>
      </c>
      <c r="D21" s="5" t="s">
        <v>115</v>
      </c>
      <c r="E21" s="5" t="s">
        <v>52</v>
      </c>
      <c r="F21" s="5" t="s">
        <v>47</v>
      </c>
      <c r="G21" s="5" t="s">
        <v>48</v>
      </c>
      <c r="H21" s="5" t="s">
        <v>31</v>
      </c>
      <c r="I21" s="5"/>
    </row>
    <row r="22" customFormat="false" ht="15" hidden="false" customHeight="false" outlineLevel="0" collapsed="false">
      <c r="A22" s="5" t="s">
        <v>116</v>
      </c>
      <c r="B22" s="5" t="s">
        <v>78</v>
      </c>
      <c r="C22" s="5" t="s">
        <v>117</v>
      </c>
      <c r="D22" s="5" t="s">
        <v>118</v>
      </c>
      <c r="E22" s="5" t="s">
        <v>57</v>
      </c>
      <c r="F22" s="5" t="s">
        <v>119</v>
      </c>
      <c r="G22" s="5" t="s">
        <v>48</v>
      </c>
      <c r="H22" s="5" t="s">
        <v>31</v>
      </c>
      <c r="I22" s="5" t="s">
        <v>120</v>
      </c>
    </row>
    <row r="23" customFormat="false" ht="15" hidden="false" customHeight="false" outlineLevel="0" collapsed="false">
      <c r="A23" s="5" t="s">
        <v>121</v>
      </c>
      <c r="B23" s="5" t="s">
        <v>78</v>
      </c>
      <c r="C23" s="5" t="s">
        <v>122</v>
      </c>
      <c r="D23" s="5" t="s">
        <v>123</v>
      </c>
      <c r="E23" s="5" t="s">
        <v>22</v>
      </c>
      <c r="F23" s="5" t="s">
        <v>47</v>
      </c>
      <c r="G23" s="5" t="s">
        <v>48</v>
      </c>
      <c r="H23" s="5" t="s">
        <v>25</v>
      </c>
      <c r="I23" s="5" t="s">
        <v>124</v>
      </c>
    </row>
    <row r="24" customFormat="false" ht="15" hidden="false" customHeight="false" outlineLevel="0" collapsed="false">
      <c r="A24" s="5" t="s">
        <v>125</v>
      </c>
      <c r="B24" s="5" t="s">
        <v>78</v>
      </c>
      <c r="C24" s="5" t="s">
        <v>126</v>
      </c>
      <c r="D24" s="5" t="s">
        <v>127</v>
      </c>
      <c r="E24" s="5" t="s">
        <v>22</v>
      </c>
      <c r="F24" s="5" t="s">
        <v>47</v>
      </c>
      <c r="G24" s="5" t="s">
        <v>111</v>
      </c>
      <c r="H24" s="5" t="s">
        <v>25</v>
      </c>
      <c r="I24" s="5"/>
    </row>
    <row r="25" customFormat="false" ht="15" hidden="false" customHeight="false" outlineLevel="0" collapsed="false">
      <c r="A25" s="5" t="s">
        <v>128</v>
      </c>
      <c r="B25" s="5" t="s">
        <v>78</v>
      </c>
      <c r="C25" s="5" t="s">
        <v>129</v>
      </c>
      <c r="D25" s="5" t="s">
        <v>130</v>
      </c>
      <c r="E25" s="5" t="s">
        <v>52</v>
      </c>
      <c r="F25" s="5" t="s">
        <v>47</v>
      </c>
      <c r="G25" s="5" t="s">
        <v>111</v>
      </c>
      <c r="H25" s="5" t="s">
        <v>31</v>
      </c>
      <c r="I25" s="5"/>
    </row>
    <row r="26" customFormat="false" ht="15" hidden="false" customHeight="false" outlineLevel="0" collapsed="false">
      <c r="A26" s="5" t="s">
        <v>131</v>
      </c>
      <c r="B26" s="5" t="s">
        <v>78</v>
      </c>
      <c r="C26" s="5" t="s">
        <v>132</v>
      </c>
      <c r="D26" s="5" t="s">
        <v>133</v>
      </c>
      <c r="E26" s="5" t="s">
        <v>22</v>
      </c>
      <c r="F26" s="5" t="s">
        <v>23</v>
      </c>
      <c r="G26" s="5" t="s">
        <v>48</v>
      </c>
      <c r="H26" s="5" t="s">
        <v>25</v>
      </c>
      <c r="I26" s="5"/>
    </row>
    <row r="27" customFormat="false" ht="23.85" hidden="false" customHeight="false" outlineLevel="0" collapsed="false">
      <c r="A27" s="5" t="s">
        <v>134</v>
      </c>
      <c r="B27" s="5" t="s">
        <v>135</v>
      </c>
      <c r="C27" s="5" t="s">
        <v>136</v>
      </c>
      <c r="D27" s="5" t="s">
        <v>137</v>
      </c>
      <c r="E27" s="5" t="s">
        <v>138</v>
      </c>
      <c r="F27" s="5" t="s">
        <v>139</v>
      </c>
      <c r="G27" s="5" t="s">
        <v>140</v>
      </c>
      <c r="H27" s="5" t="s">
        <v>25</v>
      </c>
      <c r="I27" s="5" t="s">
        <v>141</v>
      </c>
    </row>
    <row r="28" customFormat="false" ht="15" hidden="false" customHeight="false" outlineLevel="0" collapsed="false">
      <c r="A28" s="6" t="s">
        <v>142</v>
      </c>
      <c r="B28" s="6" t="s">
        <v>135</v>
      </c>
      <c r="C28" s="6" t="s">
        <v>143</v>
      </c>
      <c r="D28" s="6" t="s">
        <v>144</v>
      </c>
      <c r="E28" s="6" t="s">
        <v>22</v>
      </c>
      <c r="F28" s="6" t="s">
        <v>42</v>
      </c>
      <c r="G28" s="6" t="s">
        <v>68</v>
      </c>
      <c r="H28" s="6" t="s">
        <v>62</v>
      </c>
      <c r="I28" s="6" t="s">
        <v>145</v>
      </c>
    </row>
    <row r="29" customFormat="false" ht="15" hidden="false" customHeight="false" outlineLevel="0" collapsed="false">
      <c r="A29" s="5" t="s">
        <v>146</v>
      </c>
      <c r="B29" s="5" t="s">
        <v>135</v>
      </c>
      <c r="C29" s="5" t="s">
        <v>147</v>
      </c>
      <c r="D29" s="5" t="s">
        <v>148</v>
      </c>
      <c r="E29" s="5" t="s">
        <v>22</v>
      </c>
      <c r="F29" s="5" t="s">
        <v>42</v>
      </c>
      <c r="G29" s="5" t="s">
        <v>68</v>
      </c>
      <c r="H29" s="5" t="s">
        <v>31</v>
      </c>
      <c r="I29" s="5" t="s">
        <v>149</v>
      </c>
    </row>
    <row r="30" customFormat="false" ht="15" hidden="false" customHeight="false" outlineLevel="0" collapsed="false">
      <c r="A30" s="5" t="s">
        <v>150</v>
      </c>
      <c r="B30" s="5" t="s">
        <v>135</v>
      </c>
      <c r="C30" s="5" t="s">
        <v>151</v>
      </c>
      <c r="D30" s="5" t="s">
        <v>152</v>
      </c>
      <c r="E30" s="5" t="s">
        <v>22</v>
      </c>
      <c r="F30" s="5" t="s">
        <v>42</v>
      </c>
      <c r="G30" s="5" t="s">
        <v>43</v>
      </c>
      <c r="H30" s="5" t="s">
        <v>25</v>
      </c>
      <c r="I30" s="5"/>
    </row>
    <row r="31" customFormat="false" ht="15" hidden="false" customHeight="false" outlineLevel="0" collapsed="false">
      <c r="A31" s="5" t="s">
        <v>153</v>
      </c>
      <c r="B31" s="5" t="s">
        <v>135</v>
      </c>
      <c r="C31" s="5" t="s">
        <v>154</v>
      </c>
      <c r="D31" s="5" t="s">
        <v>155</v>
      </c>
      <c r="E31" s="5" t="s">
        <v>52</v>
      </c>
      <c r="F31" s="5" t="s">
        <v>42</v>
      </c>
      <c r="G31" s="5" t="s">
        <v>43</v>
      </c>
      <c r="H31" s="5" t="s">
        <v>31</v>
      </c>
      <c r="I31" s="5" t="s">
        <v>156</v>
      </c>
    </row>
    <row r="32" customFormat="false" ht="15" hidden="false" customHeight="false" outlineLevel="0" collapsed="false">
      <c r="A32" s="5" t="s">
        <v>157</v>
      </c>
      <c r="B32" s="5" t="s">
        <v>135</v>
      </c>
      <c r="C32" s="5" t="s">
        <v>158</v>
      </c>
      <c r="D32" s="5" t="s">
        <v>159</v>
      </c>
      <c r="E32" s="5" t="s">
        <v>22</v>
      </c>
      <c r="F32" s="5" t="s">
        <v>42</v>
      </c>
      <c r="G32" s="5" t="s">
        <v>43</v>
      </c>
      <c r="H32" s="5" t="s">
        <v>25</v>
      </c>
      <c r="I32" s="5"/>
    </row>
    <row r="33" customFormat="false" ht="15" hidden="false" customHeight="false" outlineLevel="0" collapsed="false">
      <c r="A33" s="5" t="s">
        <v>160</v>
      </c>
      <c r="B33" s="5" t="s">
        <v>135</v>
      </c>
      <c r="C33" s="5" t="s">
        <v>161</v>
      </c>
      <c r="D33" s="5" t="s">
        <v>162</v>
      </c>
      <c r="E33" s="5" t="s">
        <v>22</v>
      </c>
      <c r="F33" s="5" t="s">
        <v>42</v>
      </c>
      <c r="G33" s="5" t="s">
        <v>43</v>
      </c>
      <c r="H33" s="5" t="s">
        <v>25</v>
      </c>
      <c r="I33" s="5" t="s">
        <v>163</v>
      </c>
    </row>
    <row r="34" customFormat="false" ht="15" hidden="false" customHeight="false" outlineLevel="0" collapsed="false">
      <c r="A34" s="5" t="s">
        <v>164</v>
      </c>
      <c r="B34" s="5" t="s">
        <v>135</v>
      </c>
      <c r="C34" s="5" t="s">
        <v>165</v>
      </c>
      <c r="D34" s="5" t="s">
        <v>166</v>
      </c>
      <c r="E34" s="5" t="s">
        <v>22</v>
      </c>
      <c r="F34" s="5" t="s">
        <v>167</v>
      </c>
      <c r="G34" s="5" t="s">
        <v>168</v>
      </c>
      <c r="H34" s="5" t="s">
        <v>25</v>
      </c>
      <c r="I34" s="5"/>
    </row>
    <row r="35" customFormat="false" ht="15" hidden="false" customHeight="false" outlineLevel="0" collapsed="false">
      <c r="A35" s="5" t="s">
        <v>169</v>
      </c>
      <c r="B35" s="5" t="s">
        <v>135</v>
      </c>
      <c r="C35" s="5" t="s">
        <v>170</v>
      </c>
      <c r="D35" s="5" t="s">
        <v>171</v>
      </c>
      <c r="E35" s="5" t="s">
        <v>52</v>
      </c>
      <c r="F35" s="5" t="s">
        <v>42</v>
      </c>
      <c r="G35" s="5" t="s">
        <v>68</v>
      </c>
      <c r="H35" s="5" t="s">
        <v>31</v>
      </c>
      <c r="I35" s="5" t="s">
        <v>172</v>
      </c>
    </row>
    <row r="36" customFormat="false" ht="15" hidden="false" customHeight="false" outlineLevel="0" collapsed="false">
      <c r="A36" s="5" t="s">
        <v>173</v>
      </c>
      <c r="B36" s="5" t="s">
        <v>135</v>
      </c>
      <c r="C36" s="5" t="s">
        <v>174</v>
      </c>
      <c r="D36" s="5" t="s">
        <v>175</v>
      </c>
      <c r="E36" s="5" t="s">
        <v>52</v>
      </c>
      <c r="F36" s="5" t="s">
        <v>42</v>
      </c>
      <c r="G36" s="5" t="s">
        <v>43</v>
      </c>
      <c r="H36" s="5" t="s">
        <v>31</v>
      </c>
      <c r="I36" s="5"/>
    </row>
    <row r="37" customFormat="false" ht="15" hidden="false" customHeight="false" outlineLevel="0" collapsed="false">
      <c r="A37" s="6" t="s">
        <v>176</v>
      </c>
      <c r="B37" s="6" t="s">
        <v>135</v>
      </c>
      <c r="C37" s="6" t="s">
        <v>177</v>
      </c>
      <c r="D37" s="6" t="s">
        <v>178</v>
      </c>
      <c r="E37" s="6" t="s">
        <v>22</v>
      </c>
      <c r="F37" s="6" t="s">
        <v>179</v>
      </c>
      <c r="G37" s="6" t="s">
        <v>68</v>
      </c>
      <c r="H37" s="6" t="s">
        <v>62</v>
      </c>
      <c r="I37" s="6" t="s">
        <v>180</v>
      </c>
    </row>
    <row r="38" customFormat="false" ht="15" hidden="false" customHeight="false" outlineLevel="0" collapsed="false">
      <c r="A38" s="6" t="s">
        <v>181</v>
      </c>
      <c r="B38" s="6" t="s">
        <v>135</v>
      </c>
      <c r="C38" s="6" t="s">
        <v>182</v>
      </c>
      <c r="D38" s="6" t="s">
        <v>183</v>
      </c>
      <c r="E38" s="6" t="s">
        <v>22</v>
      </c>
      <c r="F38" s="6" t="s">
        <v>53</v>
      </c>
      <c r="G38" s="6" t="s">
        <v>24</v>
      </c>
      <c r="H38" s="6" t="s">
        <v>62</v>
      </c>
      <c r="I38" s="6" t="s">
        <v>184</v>
      </c>
    </row>
    <row r="39" customFormat="false" ht="15" hidden="false" customHeight="false" outlineLevel="0" collapsed="false">
      <c r="A39" s="5" t="s">
        <v>185</v>
      </c>
      <c r="B39" s="5" t="s">
        <v>135</v>
      </c>
      <c r="C39" s="5" t="s">
        <v>186</v>
      </c>
      <c r="D39" s="5" t="s">
        <v>187</v>
      </c>
      <c r="E39" s="5" t="s">
        <v>22</v>
      </c>
      <c r="F39" s="5" t="s">
        <v>188</v>
      </c>
      <c r="G39" s="5" t="s">
        <v>43</v>
      </c>
      <c r="H39" s="5" t="s">
        <v>25</v>
      </c>
      <c r="I39" s="5"/>
    </row>
    <row r="40" customFormat="false" ht="15" hidden="false" customHeight="false" outlineLevel="0" collapsed="false">
      <c r="A40" s="5" t="s">
        <v>189</v>
      </c>
      <c r="B40" s="5" t="s">
        <v>135</v>
      </c>
      <c r="C40" s="5" t="s">
        <v>190</v>
      </c>
      <c r="D40" s="5" t="s">
        <v>191</v>
      </c>
      <c r="E40" s="5" t="s">
        <v>52</v>
      </c>
      <c r="F40" s="5" t="s">
        <v>192</v>
      </c>
      <c r="G40" s="5" t="s">
        <v>193</v>
      </c>
      <c r="H40" s="5" t="s">
        <v>31</v>
      </c>
      <c r="I40" s="5"/>
    </row>
    <row r="41" customFormat="false" ht="15" hidden="false" customHeight="false" outlineLevel="0" collapsed="false">
      <c r="A41" s="5" t="s">
        <v>194</v>
      </c>
      <c r="B41" s="5" t="s">
        <v>135</v>
      </c>
      <c r="C41" s="5" t="s">
        <v>136</v>
      </c>
      <c r="D41" s="5" t="s">
        <v>195</v>
      </c>
      <c r="E41" s="5" t="s">
        <v>196</v>
      </c>
      <c r="F41" s="5" t="s">
        <v>197</v>
      </c>
      <c r="G41" s="5" t="s">
        <v>43</v>
      </c>
      <c r="H41" s="5" t="s">
        <v>198</v>
      </c>
      <c r="I41" s="5" t="s">
        <v>199</v>
      </c>
    </row>
    <row r="42" customFormat="false" ht="15" hidden="false" customHeight="false" outlineLevel="0" collapsed="false">
      <c r="A42" s="5" t="s">
        <v>200</v>
      </c>
      <c r="B42" s="5" t="s">
        <v>201</v>
      </c>
      <c r="C42" s="5" t="s">
        <v>202</v>
      </c>
      <c r="D42" s="5" t="s">
        <v>203</v>
      </c>
      <c r="E42" s="5" t="s">
        <v>22</v>
      </c>
      <c r="F42" s="5" t="s">
        <v>204</v>
      </c>
      <c r="G42" s="5" t="s">
        <v>205</v>
      </c>
      <c r="H42" s="5" t="s">
        <v>25</v>
      </c>
      <c r="I42" s="5"/>
    </row>
    <row r="43" customFormat="false" ht="15" hidden="false" customHeight="false" outlineLevel="0" collapsed="false">
      <c r="A43" s="5" t="s">
        <v>206</v>
      </c>
      <c r="B43" s="5" t="s">
        <v>201</v>
      </c>
      <c r="C43" s="5" t="s">
        <v>207</v>
      </c>
      <c r="D43" s="5" t="s">
        <v>208</v>
      </c>
      <c r="E43" s="5" t="s">
        <v>22</v>
      </c>
      <c r="F43" s="5" t="s">
        <v>209</v>
      </c>
      <c r="G43" s="5" t="s">
        <v>168</v>
      </c>
      <c r="H43" s="5" t="s">
        <v>25</v>
      </c>
      <c r="I43" s="5" t="s">
        <v>210</v>
      </c>
    </row>
    <row r="44" customFormat="false" ht="15" hidden="false" customHeight="false" outlineLevel="0" collapsed="false">
      <c r="A44" s="5" t="s">
        <v>211</v>
      </c>
      <c r="B44" s="5" t="s">
        <v>201</v>
      </c>
      <c r="C44" s="5" t="s">
        <v>212</v>
      </c>
      <c r="D44" s="5" t="s">
        <v>213</v>
      </c>
      <c r="E44" s="5" t="s">
        <v>22</v>
      </c>
      <c r="F44" s="5" t="s">
        <v>204</v>
      </c>
      <c r="G44" s="5" t="s">
        <v>205</v>
      </c>
      <c r="H44" s="5" t="s">
        <v>25</v>
      </c>
      <c r="I44" s="5"/>
    </row>
    <row r="45" customFormat="false" ht="15" hidden="false" customHeight="false" outlineLevel="0" collapsed="false">
      <c r="A45" s="5" t="s">
        <v>214</v>
      </c>
      <c r="B45" s="5" t="s">
        <v>201</v>
      </c>
      <c r="C45" s="5" t="s">
        <v>215</v>
      </c>
      <c r="D45" s="5" t="s">
        <v>216</v>
      </c>
      <c r="E45" s="5" t="s">
        <v>22</v>
      </c>
      <c r="F45" s="5" t="s">
        <v>204</v>
      </c>
      <c r="G45" s="5" t="s">
        <v>217</v>
      </c>
      <c r="H45" s="5" t="s">
        <v>25</v>
      </c>
      <c r="I45" s="5"/>
    </row>
    <row r="46" customFormat="false" ht="15" hidden="false" customHeight="false" outlineLevel="0" collapsed="false">
      <c r="A46" s="6" t="s">
        <v>218</v>
      </c>
      <c r="B46" s="6" t="s">
        <v>201</v>
      </c>
      <c r="C46" s="6" t="s">
        <v>219</v>
      </c>
      <c r="D46" s="6" t="s">
        <v>220</v>
      </c>
      <c r="E46" s="6" t="s">
        <v>22</v>
      </c>
      <c r="F46" s="6" t="s">
        <v>204</v>
      </c>
      <c r="G46" s="6" t="s">
        <v>205</v>
      </c>
      <c r="H46" s="6" t="s">
        <v>62</v>
      </c>
      <c r="I46" s="6" t="s">
        <v>221</v>
      </c>
    </row>
    <row r="47" customFormat="false" ht="15" hidden="false" customHeight="false" outlineLevel="0" collapsed="false">
      <c r="A47" s="5" t="s">
        <v>222</v>
      </c>
      <c r="B47" s="5" t="s">
        <v>201</v>
      </c>
      <c r="C47" s="5" t="s">
        <v>223</v>
      </c>
      <c r="D47" s="5" t="s">
        <v>224</v>
      </c>
      <c r="E47" s="5" t="s">
        <v>52</v>
      </c>
      <c r="F47" s="5" t="s">
        <v>225</v>
      </c>
      <c r="G47" s="5" t="s">
        <v>205</v>
      </c>
      <c r="H47" s="5" t="s">
        <v>31</v>
      </c>
      <c r="I47" s="5"/>
    </row>
    <row r="48" customFormat="false" ht="23.85" hidden="false" customHeight="false" outlineLevel="0" collapsed="false">
      <c r="A48" s="6" t="s">
        <v>226</v>
      </c>
      <c r="B48" s="6" t="s">
        <v>201</v>
      </c>
      <c r="C48" s="6" t="s">
        <v>227</v>
      </c>
      <c r="D48" s="6" t="s">
        <v>228</v>
      </c>
      <c r="E48" s="6" t="s">
        <v>22</v>
      </c>
      <c r="F48" s="6" t="s">
        <v>229</v>
      </c>
      <c r="G48" s="6" t="s">
        <v>230</v>
      </c>
      <c r="H48" s="6" t="s">
        <v>62</v>
      </c>
      <c r="I48" s="6" t="s">
        <v>231</v>
      </c>
    </row>
    <row r="49" customFormat="false" ht="15" hidden="false" customHeight="false" outlineLevel="0" collapsed="false">
      <c r="A49" s="5" t="s">
        <v>232</v>
      </c>
      <c r="B49" s="5" t="s">
        <v>201</v>
      </c>
      <c r="C49" s="5" t="s">
        <v>233</v>
      </c>
      <c r="D49" s="5" t="s">
        <v>234</v>
      </c>
      <c r="E49" s="5" t="s">
        <v>22</v>
      </c>
      <c r="F49" s="5" t="s">
        <v>235</v>
      </c>
      <c r="G49" s="5" t="s">
        <v>217</v>
      </c>
      <c r="H49" s="5" t="s">
        <v>31</v>
      </c>
      <c r="I49" s="5"/>
    </row>
    <row r="50" customFormat="false" ht="15" hidden="false" customHeight="false" outlineLevel="0" collapsed="false">
      <c r="A50" s="5" t="s">
        <v>236</v>
      </c>
      <c r="B50" s="5" t="s">
        <v>201</v>
      </c>
      <c r="C50" s="5" t="s">
        <v>237</v>
      </c>
      <c r="D50" s="5" t="s">
        <v>238</v>
      </c>
      <c r="E50" s="5" t="s">
        <v>22</v>
      </c>
      <c r="F50" s="5" t="s">
        <v>204</v>
      </c>
      <c r="G50" s="5" t="s">
        <v>217</v>
      </c>
      <c r="H50" s="5" t="s">
        <v>25</v>
      </c>
      <c r="I50" s="5" t="s">
        <v>239</v>
      </c>
    </row>
    <row r="51" customFormat="false" ht="23.85" hidden="false" customHeight="false" outlineLevel="0" collapsed="false">
      <c r="A51" s="6" t="s">
        <v>240</v>
      </c>
      <c r="B51" s="6" t="s">
        <v>201</v>
      </c>
      <c r="C51" s="6" t="s">
        <v>241</v>
      </c>
      <c r="D51" s="6" t="s">
        <v>242</v>
      </c>
      <c r="E51" s="6" t="s">
        <v>22</v>
      </c>
      <c r="F51" s="6" t="s">
        <v>243</v>
      </c>
      <c r="G51" s="6" t="s">
        <v>111</v>
      </c>
      <c r="H51" s="6" t="s">
        <v>62</v>
      </c>
      <c r="I51" s="6" t="s">
        <v>244</v>
      </c>
    </row>
    <row r="52" customFormat="false" ht="15" hidden="false" customHeight="false" outlineLevel="0" collapsed="false">
      <c r="A52" s="5" t="s">
        <v>245</v>
      </c>
      <c r="B52" s="5" t="s">
        <v>201</v>
      </c>
      <c r="C52" s="5" t="s">
        <v>246</v>
      </c>
      <c r="D52" s="5" t="s">
        <v>247</v>
      </c>
      <c r="E52" s="5" t="s">
        <v>22</v>
      </c>
      <c r="F52" s="5" t="s">
        <v>204</v>
      </c>
      <c r="G52" s="5" t="s">
        <v>217</v>
      </c>
      <c r="H52" s="5" t="s">
        <v>31</v>
      </c>
      <c r="I52" s="5" t="s">
        <v>248</v>
      </c>
    </row>
    <row r="53" customFormat="false" ht="15" hidden="false" customHeight="false" outlineLevel="0" collapsed="false">
      <c r="A53" s="5" t="s">
        <v>249</v>
      </c>
      <c r="B53" s="5" t="s">
        <v>201</v>
      </c>
      <c r="C53" s="5" t="s">
        <v>250</v>
      </c>
      <c r="D53" s="5" t="s">
        <v>251</v>
      </c>
      <c r="E53" s="5" t="s">
        <v>22</v>
      </c>
      <c r="F53" s="5" t="s">
        <v>252</v>
      </c>
      <c r="G53" s="5" t="s">
        <v>253</v>
      </c>
      <c r="H53" s="5" t="s">
        <v>25</v>
      </c>
      <c r="I53" s="5"/>
    </row>
    <row r="54" customFormat="false" ht="15" hidden="false" customHeight="false" outlineLevel="0" collapsed="false">
      <c r="A54" s="6" t="s">
        <v>254</v>
      </c>
      <c r="B54" s="6" t="s">
        <v>201</v>
      </c>
      <c r="C54" s="6" t="s">
        <v>255</v>
      </c>
      <c r="D54" s="6" t="s">
        <v>256</v>
      </c>
      <c r="E54" s="6" t="s">
        <v>22</v>
      </c>
      <c r="F54" s="6" t="s">
        <v>204</v>
      </c>
      <c r="G54" s="6" t="s">
        <v>217</v>
      </c>
      <c r="H54" s="6" t="s">
        <v>62</v>
      </c>
      <c r="I54" s="6" t="s">
        <v>257</v>
      </c>
    </row>
    <row r="55" customFormat="false" ht="15" hidden="false" customHeight="false" outlineLevel="0" collapsed="false">
      <c r="A55" s="6" t="s">
        <v>258</v>
      </c>
      <c r="B55" s="6" t="s">
        <v>201</v>
      </c>
      <c r="C55" s="6" t="s">
        <v>259</v>
      </c>
      <c r="D55" s="6" t="s">
        <v>260</v>
      </c>
      <c r="E55" s="6" t="s">
        <v>22</v>
      </c>
      <c r="F55" s="6" t="s">
        <v>204</v>
      </c>
      <c r="G55" s="6" t="s">
        <v>217</v>
      </c>
      <c r="H55" s="6" t="s">
        <v>62</v>
      </c>
      <c r="I55" s="6" t="s">
        <v>261</v>
      </c>
    </row>
    <row r="56" customFormat="false" ht="15" hidden="false" customHeight="false" outlineLevel="0" collapsed="false">
      <c r="A56" s="5" t="s">
        <v>262</v>
      </c>
      <c r="B56" s="5" t="s">
        <v>201</v>
      </c>
      <c r="C56" s="5" t="s">
        <v>263</v>
      </c>
      <c r="D56" s="5" t="s">
        <v>264</v>
      </c>
      <c r="E56" s="5" t="s">
        <v>57</v>
      </c>
      <c r="F56" s="5" t="s">
        <v>204</v>
      </c>
      <c r="G56" s="5" t="s">
        <v>217</v>
      </c>
      <c r="H56" s="5" t="s">
        <v>31</v>
      </c>
      <c r="I56" s="5" t="s">
        <v>265</v>
      </c>
    </row>
    <row r="57" customFormat="false" ht="15" hidden="false" customHeight="false" outlineLevel="0" collapsed="false">
      <c r="A57" s="6" t="s">
        <v>266</v>
      </c>
      <c r="B57" s="6" t="s">
        <v>201</v>
      </c>
      <c r="C57" s="6" t="s">
        <v>267</v>
      </c>
      <c r="D57" s="6" t="s">
        <v>268</v>
      </c>
      <c r="E57" s="6" t="s">
        <v>22</v>
      </c>
      <c r="F57" s="6" t="s">
        <v>269</v>
      </c>
      <c r="G57" s="6" t="s">
        <v>230</v>
      </c>
      <c r="H57" s="6" t="s">
        <v>62</v>
      </c>
      <c r="I57" s="6" t="s">
        <v>270</v>
      </c>
    </row>
    <row r="58" customFormat="false" ht="15" hidden="false" customHeight="false" outlineLevel="0" collapsed="false">
      <c r="A58" s="5" t="s">
        <v>271</v>
      </c>
      <c r="B58" s="5" t="s">
        <v>201</v>
      </c>
      <c r="C58" s="5" t="s">
        <v>272</v>
      </c>
      <c r="D58" s="5" t="s">
        <v>273</v>
      </c>
      <c r="E58" s="5" t="s">
        <v>52</v>
      </c>
      <c r="F58" s="5" t="s">
        <v>204</v>
      </c>
      <c r="G58" s="5" t="s">
        <v>205</v>
      </c>
      <c r="H58" s="5" t="s">
        <v>31</v>
      </c>
      <c r="I58" s="5" t="s">
        <v>274</v>
      </c>
    </row>
    <row r="59" customFormat="false" ht="15" hidden="false" customHeight="false" outlineLevel="0" collapsed="false">
      <c r="A59" s="5" t="s">
        <v>275</v>
      </c>
      <c r="B59" s="5" t="s">
        <v>201</v>
      </c>
      <c r="C59" s="5" t="s">
        <v>276</v>
      </c>
      <c r="D59" s="5" t="s">
        <v>277</v>
      </c>
      <c r="E59" s="5" t="s">
        <v>74</v>
      </c>
      <c r="F59" s="5" t="s">
        <v>225</v>
      </c>
      <c r="G59" s="5" t="s">
        <v>74</v>
      </c>
      <c r="H59" s="5" t="s">
        <v>31</v>
      </c>
      <c r="I59" s="5" t="s">
        <v>278</v>
      </c>
    </row>
    <row r="60" customFormat="false" ht="15" hidden="false" customHeight="false" outlineLevel="0" collapsed="false">
      <c r="A60" s="5" t="s">
        <v>279</v>
      </c>
      <c r="B60" s="5" t="s">
        <v>280</v>
      </c>
      <c r="C60" s="5" t="s">
        <v>281</v>
      </c>
      <c r="D60" s="5" t="s">
        <v>282</v>
      </c>
      <c r="E60" s="5" t="s">
        <v>22</v>
      </c>
      <c r="F60" s="5" t="s">
        <v>283</v>
      </c>
      <c r="G60" s="5" t="s">
        <v>253</v>
      </c>
      <c r="H60" s="5" t="s">
        <v>25</v>
      </c>
      <c r="I60" s="5"/>
    </row>
    <row r="61" customFormat="false" ht="15" hidden="false" customHeight="false" outlineLevel="0" collapsed="false">
      <c r="A61" s="5" t="s">
        <v>284</v>
      </c>
      <c r="B61" s="5" t="s">
        <v>280</v>
      </c>
      <c r="C61" s="5" t="s">
        <v>285</v>
      </c>
      <c r="D61" s="5" t="s">
        <v>286</v>
      </c>
      <c r="E61" s="5" t="s">
        <v>22</v>
      </c>
      <c r="F61" s="5" t="s">
        <v>283</v>
      </c>
      <c r="G61" s="5" t="s">
        <v>253</v>
      </c>
      <c r="H61" s="5" t="s">
        <v>25</v>
      </c>
      <c r="I61" s="5" t="s">
        <v>287</v>
      </c>
    </row>
    <row r="62" customFormat="false" ht="15" hidden="false" customHeight="false" outlineLevel="0" collapsed="false">
      <c r="A62" s="5" t="s">
        <v>288</v>
      </c>
      <c r="B62" s="5" t="s">
        <v>280</v>
      </c>
      <c r="C62" s="5" t="s">
        <v>289</v>
      </c>
      <c r="D62" s="5" t="s">
        <v>290</v>
      </c>
      <c r="E62" s="5" t="s">
        <v>22</v>
      </c>
      <c r="F62" s="5" t="s">
        <v>283</v>
      </c>
      <c r="G62" s="5" t="s">
        <v>253</v>
      </c>
      <c r="H62" s="5" t="s">
        <v>25</v>
      </c>
      <c r="I62" s="5"/>
    </row>
    <row r="63" customFormat="false" ht="15" hidden="false" customHeight="false" outlineLevel="0" collapsed="false">
      <c r="A63" s="5" t="s">
        <v>291</v>
      </c>
      <c r="B63" s="5" t="s">
        <v>280</v>
      </c>
      <c r="C63" s="5" t="s">
        <v>292</v>
      </c>
      <c r="D63" s="5" t="s">
        <v>293</v>
      </c>
      <c r="E63" s="5" t="s">
        <v>22</v>
      </c>
      <c r="F63" s="5" t="s">
        <v>283</v>
      </c>
      <c r="G63" s="5" t="s">
        <v>253</v>
      </c>
      <c r="H63" s="5" t="s">
        <v>31</v>
      </c>
      <c r="I63" s="5"/>
    </row>
    <row r="64" customFormat="false" ht="15" hidden="false" customHeight="false" outlineLevel="0" collapsed="false">
      <c r="A64" s="5" t="s">
        <v>294</v>
      </c>
      <c r="B64" s="5" t="s">
        <v>280</v>
      </c>
      <c r="C64" s="5" t="s">
        <v>295</v>
      </c>
      <c r="D64" s="5" t="s">
        <v>296</v>
      </c>
      <c r="E64" s="5" t="s">
        <v>57</v>
      </c>
      <c r="F64" s="5" t="s">
        <v>283</v>
      </c>
      <c r="G64" s="5" t="s">
        <v>253</v>
      </c>
      <c r="H64" s="5" t="s">
        <v>31</v>
      </c>
      <c r="I64" s="5"/>
    </row>
    <row r="65" customFormat="false" ht="15" hidden="false" customHeight="false" outlineLevel="0" collapsed="false">
      <c r="A65" s="5" t="s">
        <v>297</v>
      </c>
      <c r="B65" s="5" t="s">
        <v>280</v>
      </c>
      <c r="C65" s="5" t="s">
        <v>298</v>
      </c>
      <c r="D65" s="5" t="s">
        <v>299</v>
      </c>
      <c r="E65" s="5" t="s">
        <v>52</v>
      </c>
      <c r="F65" s="5" t="s">
        <v>283</v>
      </c>
      <c r="G65" s="5" t="s">
        <v>253</v>
      </c>
      <c r="H65" s="5" t="s">
        <v>31</v>
      </c>
      <c r="I65" s="5"/>
    </row>
    <row r="66" customFormat="false" ht="15" hidden="false" customHeight="false" outlineLevel="0" collapsed="false">
      <c r="A66" s="5" t="s">
        <v>300</v>
      </c>
      <c r="B66" s="5" t="s">
        <v>280</v>
      </c>
      <c r="C66" s="5" t="s">
        <v>301</v>
      </c>
      <c r="D66" s="5"/>
      <c r="E66" s="5" t="s">
        <v>52</v>
      </c>
      <c r="F66" s="5" t="s">
        <v>283</v>
      </c>
      <c r="G66" s="5" t="s">
        <v>253</v>
      </c>
      <c r="H66" s="5" t="s">
        <v>31</v>
      </c>
      <c r="I66" s="5"/>
    </row>
    <row r="67" customFormat="false" ht="15" hidden="false" customHeight="false" outlineLevel="0" collapsed="false">
      <c r="A67" s="5" t="s">
        <v>302</v>
      </c>
      <c r="B67" s="5" t="s">
        <v>280</v>
      </c>
      <c r="C67" s="5" t="s">
        <v>303</v>
      </c>
      <c r="D67" s="5" t="s">
        <v>304</v>
      </c>
      <c r="E67" s="5" t="s">
        <v>22</v>
      </c>
      <c r="F67" s="5" t="s">
        <v>283</v>
      </c>
      <c r="G67" s="5" t="s">
        <v>253</v>
      </c>
      <c r="H67" s="5" t="s">
        <v>25</v>
      </c>
      <c r="I67" s="5" t="s">
        <v>305</v>
      </c>
    </row>
    <row r="68" customFormat="false" ht="15" hidden="false" customHeight="false" outlineLevel="0" collapsed="false">
      <c r="A68" s="5" t="s">
        <v>306</v>
      </c>
      <c r="B68" s="5" t="s">
        <v>280</v>
      </c>
      <c r="C68" s="5" t="s">
        <v>307</v>
      </c>
      <c r="D68" s="5" t="s">
        <v>308</v>
      </c>
      <c r="E68" s="5" t="s">
        <v>52</v>
      </c>
      <c r="F68" s="5" t="s">
        <v>283</v>
      </c>
      <c r="G68" s="5" t="s">
        <v>253</v>
      </c>
      <c r="H68" s="5" t="s">
        <v>31</v>
      </c>
      <c r="I68" s="5"/>
    </row>
    <row r="69" customFormat="false" ht="15" hidden="false" customHeight="false" outlineLevel="0" collapsed="false">
      <c r="A69" s="5" t="s">
        <v>309</v>
      </c>
      <c r="B69" s="5" t="s">
        <v>280</v>
      </c>
      <c r="C69" s="5" t="s">
        <v>310</v>
      </c>
      <c r="D69" s="5" t="s">
        <v>311</v>
      </c>
      <c r="E69" s="5" t="s">
        <v>57</v>
      </c>
      <c r="F69" s="5" t="s">
        <v>283</v>
      </c>
      <c r="G69" s="5" t="s">
        <v>253</v>
      </c>
      <c r="H69" s="5" t="s">
        <v>31</v>
      </c>
      <c r="I69" s="5"/>
    </row>
    <row r="70" customFormat="false" ht="15" hidden="false" customHeight="false" outlineLevel="0" collapsed="false">
      <c r="A70" s="5" t="s">
        <v>312</v>
      </c>
      <c r="B70" s="5" t="s">
        <v>280</v>
      </c>
      <c r="C70" s="5" t="s">
        <v>313</v>
      </c>
      <c r="D70" s="5" t="s">
        <v>314</v>
      </c>
      <c r="E70" s="5" t="s">
        <v>74</v>
      </c>
      <c r="F70" s="5" t="s">
        <v>283</v>
      </c>
      <c r="G70" s="5" t="s">
        <v>253</v>
      </c>
      <c r="H70" s="5" t="s">
        <v>31</v>
      </c>
      <c r="I70" s="5" t="s">
        <v>315</v>
      </c>
    </row>
    <row r="71" customFormat="false" ht="15" hidden="false" customHeight="false" outlineLevel="0" collapsed="false">
      <c r="A71" s="5" t="s">
        <v>316</v>
      </c>
      <c r="B71" s="5" t="s">
        <v>317</v>
      </c>
      <c r="C71" s="5" t="s">
        <v>318</v>
      </c>
      <c r="D71" s="5" t="s">
        <v>319</v>
      </c>
      <c r="E71" s="5" t="s">
        <v>22</v>
      </c>
      <c r="F71" s="5" t="s">
        <v>192</v>
      </c>
      <c r="G71" s="5" t="s">
        <v>193</v>
      </c>
      <c r="H71" s="5" t="s">
        <v>25</v>
      </c>
      <c r="I71" s="5"/>
    </row>
    <row r="72" customFormat="false" ht="15" hidden="false" customHeight="false" outlineLevel="0" collapsed="false">
      <c r="A72" s="5" t="s">
        <v>320</v>
      </c>
      <c r="B72" s="5" t="s">
        <v>317</v>
      </c>
      <c r="C72" s="5" t="s">
        <v>321</v>
      </c>
      <c r="D72" s="5" t="s">
        <v>322</v>
      </c>
      <c r="E72" s="5" t="s">
        <v>22</v>
      </c>
      <c r="F72" s="5" t="s">
        <v>192</v>
      </c>
      <c r="G72" s="5" t="s">
        <v>193</v>
      </c>
      <c r="H72" s="5" t="s">
        <v>25</v>
      </c>
      <c r="I72" s="5"/>
    </row>
    <row r="73" customFormat="false" ht="15" hidden="false" customHeight="false" outlineLevel="0" collapsed="false">
      <c r="A73" s="5" t="s">
        <v>323</v>
      </c>
      <c r="B73" s="5" t="s">
        <v>317</v>
      </c>
      <c r="C73" s="5" t="s">
        <v>324</v>
      </c>
      <c r="D73" s="5" t="s">
        <v>325</v>
      </c>
      <c r="E73" s="5" t="s">
        <v>52</v>
      </c>
      <c r="F73" s="5" t="s">
        <v>192</v>
      </c>
      <c r="G73" s="5" t="s">
        <v>193</v>
      </c>
      <c r="H73" s="5" t="s">
        <v>31</v>
      </c>
      <c r="I73" s="5" t="s">
        <v>326</v>
      </c>
    </row>
    <row r="74" customFormat="false" ht="15" hidden="false" customHeight="false" outlineLevel="0" collapsed="false">
      <c r="A74" s="5" t="s">
        <v>327</v>
      </c>
      <c r="B74" s="5" t="s">
        <v>317</v>
      </c>
      <c r="C74" s="5" t="s">
        <v>328</v>
      </c>
      <c r="D74" s="5"/>
      <c r="E74" s="5" t="s">
        <v>52</v>
      </c>
      <c r="F74" s="5" t="s">
        <v>192</v>
      </c>
      <c r="G74" s="5" t="s">
        <v>193</v>
      </c>
      <c r="H74" s="5" t="s">
        <v>31</v>
      </c>
      <c r="I74" s="5"/>
    </row>
    <row r="75" customFormat="false" ht="15" hidden="false" customHeight="false" outlineLevel="0" collapsed="false">
      <c r="A75" s="5" t="s">
        <v>329</v>
      </c>
      <c r="B75" s="5" t="s">
        <v>317</v>
      </c>
      <c r="C75" s="5" t="s">
        <v>330</v>
      </c>
      <c r="D75" s="5" t="s">
        <v>331</v>
      </c>
      <c r="E75" s="5" t="s">
        <v>22</v>
      </c>
      <c r="F75" s="5" t="s">
        <v>192</v>
      </c>
      <c r="G75" s="5" t="s">
        <v>193</v>
      </c>
      <c r="H75" s="5" t="s">
        <v>25</v>
      </c>
      <c r="I75" s="5"/>
    </row>
    <row r="76" customFormat="false" ht="15" hidden="false" customHeight="false" outlineLevel="0" collapsed="false">
      <c r="A76" s="5" t="s">
        <v>332</v>
      </c>
      <c r="B76" s="5" t="s">
        <v>317</v>
      </c>
      <c r="C76" s="5" t="s">
        <v>333</v>
      </c>
      <c r="D76" s="5" t="s">
        <v>334</v>
      </c>
      <c r="E76" s="5" t="s">
        <v>22</v>
      </c>
      <c r="F76" s="5" t="s">
        <v>192</v>
      </c>
      <c r="G76" s="5" t="s">
        <v>193</v>
      </c>
      <c r="H76" s="5" t="s">
        <v>31</v>
      </c>
      <c r="I76" s="5"/>
    </row>
    <row r="77" customFormat="false" ht="15" hidden="false" customHeight="false" outlineLevel="0" collapsed="false">
      <c r="A77" s="5" t="s">
        <v>335</v>
      </c>
      <c r="B77" s="5" t="s">
        <v>317</v>
      </c>
      <c r="C77" s="5" t="s">
        <v>336</v>
      </c>
      <c r="D77" s="5" t="s">
        <v>337</v>
      </c>
      <c r="E77" s="5" t="s">
        <v>22</v>
      </c>
      <c r="F77" s="5" t="s">
        <v>338</v>
      </c>
      <c r="G77" s="5" t="s">
        <v>193</v>
      </c>
      <c r="H77" s="5" t="s">
        <v>31</v>
      </c>
      <c r="I77" s="5"/>
    </row>
    <row r="78" customFormat="false" ht="15" hidden="false" customHeight="false" outlineLevel="0" collapsed="false">
      <c r="A78" s="6" t="s">
        <v>339</v>
      </c>
      <c r="B78" s="6" t="s">
        <v>317</v>
      </c>
      <c r="C78" s="6" t="s">
        <v>340</v>
      </c>
      <c r="D78" s="6" t="s">
        <v>341</v>
      </c>
      <c r="E78" s="6" t="s">
        <v>22</v>
      </c>
      <c r="F78" s="6" t="s">
        <v>342</v>
      </c>
      <c r="G78" s="6" t="s">
        <v>343</v>
      </c>
      <c r="H78" s="6" t="s">
        <v>62</v>
      </c>
      <c r="I78" s="6" t="s">
        <v>344</v>
      </c>
    </row>
    <row r="79" customFormat="false" ht="15" hidden="false" customHeight="false" outlineLevel="0" collapsed="false">
      <c r="A79" s="5" t="s">
        <v>345</v>
      </c>
      <c r="B79" s="5" t="s">
        <v>317</v>
      </c>
      <c r="C79" s="5" t="s">
        <v>346</v>
      </c>
      <c r="D79" s="5" t="s">
        <v>347</v>
      </c>
      <c r="E79" s="5" t="s">
        <v>22</v>
      </c>
      <c r="F79" s="5" t="s">
        <v>192</v>
      </c>
      <c r="G79" s="5" t="s">
        <v>193</v>
      </c>
      <c r="H79" s="5" t="s">
        <v>31</v>
      </c>
      <c r="I79" s="5"/>
    </row>
    <row r="80" customFormat="false" ht="15" hidden="false" customHeight="false" outlineLevel="0" collapsed="false">
      <c r="A80" s="5" t="s">
        <v>348</v>
      </c>
      <c r="B80" s="5" t="s">
        <v>317</v>
      </c>
      <c r="C80" s="5" t="s">
        <v>349</v>
      </c>
      <c r="D80" s="5" t="s">
        <v>350</v>
      </c>
      <c r="E80" s="5" t="s">
        <v>57</v>
      </c>
      <c r="F80" s="5" t="s">
        <v>192</v>
      </c>
      <c r="G80" s="5" t="s">
        <v>193</v>
      </c>
      <c r="H80" s="5" t="s">
        <v>31</v>
      </c>
      <c r="I80" s="5"/>
    </row>
    <row r="81" customFormat="false" ht="15" hidden="false" customHeight="false" outlineLevel="0" collapsed="false">
      <c r="A81" s="6" t="s">
        <v>351</v>
      </c>
      <c r="B81" s="6" t="s">
        <v>352</v>
      </c>
      <c r="C81" s="6" t="s">
        <v>353</v>
      </c>
      <c r="D81" s="6" t="s">
        <v>354</v>
      </c>
      <c r="E81" s="6" t="s">
        <v>22</v>
      </c>
      <c r="F81" s="6" t="s">
        <v>355</v>
      </c>
      <c r="G81" s="6" t="s">
        <v>356</v>
      </c>
      <c r="H81" s="6" t="s">
        <v>62</v>
      </c>
      <c r="I81" s="6" t="s">
        <v>357</v>
      </c>
    </row>
    <row r="82" customFormat="false" ht="15" hidden="false" customHeight="false" outlineLevel="0" collapsed="false">
      <c r="A82" s="5" t="s">
        <v>358</v>
      </c>
      <c r="B82" s="5" t="s">
        <v>352</v>
      </c>
      <c r="C82" s="5" t="s">
        <v>359</v>
      </c>
      <c r="D82" s="5" t="s">
        <v>360</v>
      </c>
      <c r="E82" s="5" t="s">
        <v>52</v>
      </c>
      <c r="F82" s="5" t="s">
        <v>355</v>
      </c>
      <c r="G82" s="5" t="s">
        <v>356</v>
      </c>
      <c r="H82" s="5" t="s">
        <v>31</v>
      </c>
      <c r="I82" s="5"/>
    </row>
    <row r="83" customFormat="false" ht="15" hidden="false" customHeight="false" outlineLevel="0" collapsed="false">
      <c r="A83" s="5" t="s">
        <v>361</v>
      </c>
      <c r="B83" s="5" t="s">
        <v>352</v>
      </c>
      <c r="C83" s="5" t="s">
        <v>362</v>
      </c>
      <c r="D83" s="5" t="s">
        <v>363</v>
      </c>
      <c r="E83" s="5" t="s">
        <v>22</v>
      </c>
      <c r="F83" s="5" t="s">
        <v>355</v>
      </c>
      <c r="G83" s="5" t="s">
        <v>356</v>
      </c>
      <c r="H83" s="5" t="s">
        <v>25</v>
      </c>
      <c r="I83" s="5"/>
    </row>
    <row r="84" customFormat="false" ht="15" hidden="false" customHeight="false" outlineLevel="0" collapsed="false">
      <c r="A84" s="5" t="s">
        <v>364</v>
      </c>
      <c r="B84" s="5" t="s">
        <v>352</v>
      </c>
      <c r="C84" s="5" t="s">
        <v>365</v>
      </c>
      <c r="D84" s="5" t="s">
        <v>366</v>
      </c>
      <c r="E84" s="5" t="s">
        <v>22</v>
      </c>
      <c r="F84" s="5" t="s">
        <v>355</v>
      </c>
      <c r="G84" s="5" t="s">
        <v>356</v>
      </c>
      <c r="H84" s="5" t="s">
        <v>31</v>
      </c>
      <c r="I84" s="5" t="s">
        <v>367</v>
      </c>
    </row>
    <row r="85" customFormat="false" ht="15" hidden="false" customHeight="false" outlineLevel="0" collapsed="false">
      <c r="A85" s="5" t="s">
        <v>368</v>
      </c>
      <c r="B85" s="5" t="s">
        <v>352</v>
      </c>
      <c r="C85" s="5" t="s">
        <v>369</v>
      </c>
      <c r="D85" s="5" t="s">
        <v>370</v>
      </c>
      <c r="E85" s="5" t="s">
        <v>22</v>
      </c>
      <c r="F85" s="5" t="s">
        <v>355</v>
      </c>
      <c r="G85" s="5" t="s">
        <v>356</v>
      </c>
      <c r="H85" s="5" t="s">
        <v>25</v>
      </c>
      <c r="I85" s="5"/>
    </row>
    <row r="86" customFormat="false" ht="15" hidden="false" customHeight="false" outlineLevel="0" collapsed="false">
      <c r="A86" s="5" t="s">
        <v>371</v>
      </c>
      <c r="B86" s="5" t="s">
        <v>352</v>
      </c>
      <c r="C86" s="5" t="s">
        <v>372</v>
      </c>
      <c r="D86" s="5" t="s">
        <v>373</v>
      </c>
      <c r="E86" s="5" t="s">
        <v>52</v>
      </c>
      <c r="F86" s="5" t="s">
        <v>355</v>
      </c>
      <c r="G86" s="5" t="s">
        <v>356</v>
      </c>
      <c r="H86" s="5" t="s">
        <v>31</v>
      </c>
      <c r="I86" s="5" t="s">
        <v>374</v>
      </c>
    </row>
    <row r="87" customFormat="false" ht="15" hidden="false" customHeight="false" outlineLevel="0" collapsed="false">
      <c r="A87" s="5" t="s">
        <v>375</v>
      </c>
      <c r="B87" s="5" t="s">
        <v>352</v>
      </c>
      <c r="C87" s="5" t="s">
        <v>376</v>
      </c>
      <c r="D87" s="5" t="s">
        <v>377</v>
      </c>
      <c r="E87" s="5" t="s">
        <v>52</v>
      </c>
      <c r="F87" s="5" t="s">
        <v>355</v>
      </c>
      <c r="G87" s="5" t="s">
        <v>356</v>
      </c>
      <c r="H87" s="5" t="s">
        <v>31</v>
      </c>
      <c r="I87" s="5"/>
    </row>
    <row r="88" customFormat="false" ht="15" hidden="false" customHeight="false" outlineLevel="0" collapsed="false">
      <c r="A88" s="5" t="s">
        <v>378</v>
      </c>
      <c r="B88" s="5" t="s">
        <v>352</v>
      </c>
      <c r="C88" s="5" t="s">
        <v>379</v>
      </c>
      <c r="D88" s="5" t="s">
        <v>380</v>
      </c>
      <c r="E88" s="5" t="s">
        <v>57</v>
      </c>
      <c r="F88" s="5" t="s">
        <v>355</v>
      </c>
      <c r="G88" s="5" t="s">
        <v>356</v>
      </c>
      <c r="H88" s="5" t="s">
        <v>31</v>
      </c>
      <c r="I88" s="5"/>
    </row>
    <row r="89" customFormat="false" ht="15" hidden="false" customHeight="false" outlineLevel="0" collapsed="false">
      <c r="A89" s="5" t="s">
        <v>381</v>
      </c>
      <c r="B89" s="5" t="s">
        <v>382</v>
      </c>
      <c r="C89" s="5" t="s">
        <v>383</v>
      </c>
      <c r="D89" s="5" t="s">
        <v>384</v>
      </c>
      <c r="E89" s="5" t="s">
        <v>22</v>
      </c>
      <c r="F89" s="5" t="s">
        <v>385</v>
      </c>
      <c r="G89" s="5" t="s">
        <v>386</v>
      </c>
      <c r="H89" s="5" t="s">
        <v>25</v>
      </c>
      <c r="I89" s="5"/>
    </row>
    <row r="90" customFormat="false" ht="15" hidden="false" customHeight="false" outlineLevel="0" collapsed="false">
      <c r="A90" s="6" t="s">
        <v>387</v>
      </c>
      <c r="B90" s="6" t="s">
        <v>382</v>
      </c>
      <c r="C90" s="6" t="s">
        <v>388</v>
      </c>
      <c r="D90" s="6" t="s">
        <v>389</v>
      </c>
      <c r="E90" s="6" t="s">
        <v>22</v>
      </c>
      <c r="F90" s="6" t="s">
        <v>385</v>
      </c>
      <c r="G90" s="6" t="s">
        <v>386</v>
      </c>
      <c r="H90" s="6" t="s">
        <v>62</v>
      </c>
      <c r="I90" s="6" t="s">
        <v>357</v>
      </c>
    </row>
    <row r="91" customFormat="false" ht="15" hidden="false" customHeight="false" outlineLevel="0" collapsed="false">
      <c r="A91" s="5" t="s">
        <v>390</v>
      </c>
      <c r="B91" s="5" t="s">
        <v>382</v>
      </c>
      <c r="C91" s="5" t="s">
        <v>391</v>
      </c>
      <c r="D91" s="5" t="s">
        <v>392</v>
      </c>
      <c r="E91" s="5" t="s">
        <v>22</v>
      </c>
      <c r="F91" s="5" t="s">
        <v>385</v>
      </c>
      <c r="G91" s="5" t="s">
        <v>386</v>
      </c>
      <c r="H91" s="5" t="s">
        <v>25</v>
      </c>
      <c r="I91" s="5"/>
    </row>
    <row r="92" customFormat="false" ht="15" hidden="false" customHeight="false" outlineLevel="0" collapsed="false">
      <c r="A92" s="5" t="s">
        <v>393</v>
      </c>
      <c r="B92" s="5" t="s">
        <v>382</v>
      </c>
      <c r="C92" s="5" t="s">
        <v>394</v>
      </c>
      <c r="D92" s="5" t="s">
        <v>395</v>
      </c>
      <c r="E92" s="5" t="s">
        <v>52</v>
      </c>
      <c r="F92" s="5" t="s">
        <v>385</v>
      </c>
      <c r="G92" s="5" t="s">
        <v>386</v>
      </c>
      <c r="H92" s="5" t="s">
        <v>31</v>
      </c>
      <c r="I92" s="5" t="s">
        <v>396</v>
      </c>
    </row>
    <row r="93" customFormat="false" ht="15" hidden="false" customHeight="false" outlineLevel="0" collapsed="false">
      <c r="A93" s="5" t="s">
        <v>397</v>
      </c>
      <c r="B93" s="5" t="s">
        <v>382</v>
      </c>
      <c r="C93" s="5" t="s">
        <v>398</v>
      </c>
      <c r="D93" s="5" t="s">
        <v>399</v>
      </c>
      <c r="E93" s="5" t="s">
        <v>22</v>
      </c>
      <c r="F93" s="5" t="s">
        <v>385</v>
      </c>
      <c r="G93" s="5" t="s">
        <v>386</v>
      </c>
      <c r="H93" s="5" t="s">
        <v>25</v>
      </c>
      <c r="I93" s="5"/>
    </row>
    <row r="94" customFormat="false" ht="15" hidden="false" customHeight="false" outlineLevel="0" collapsed="false">
      <c r="A94" s="5" t="s">
        <v>400</v>
      </c>
      <c r="B94" s="5" t="s">
        <v>382</v>
      </c>
      <c r="C94" s="5" t="s">
        <v>401</v>
      </c>
      <c r="D94" s="5" t="s">
        <v>402</v>
      </c>
      <c r="E94" s="5" t="s">
        <v>22</v>
      </c>
      <c r="F94" s="5" t="s">
        <v>385</v>
      </c>
      <c r="G94" s="5" t="s">
        <v>386</v>
      </c>
      <c r="H94" s="5" t="s">
        <v>25</v>
      </c>
      <c r="I94" s="5"/>
    </row>
    <row r="95" customFormat="false" ht="15" hidden="false" customHeight="false" outlineLevel="0" collapsed="false">
      <c r="A95" s="5" t="s">
        <v>403</v>
      </c>
      <c r="B95" s="5" t="s">
        <v>382</v>
      </c>
      <c r="C95" s="5" t="s">
        <v>404</v>
      </c>
      <c r="D95" s="5" t="s">
        <v>405</v>
      </c>
      <c r="E95" s="5" t="s">
        <v>41</v>
      </c>
      <c r="F95" s="5" t="s">
        <v>73</v>
      </c>
      <c r="G95" s="5" t="s">
        <v>74</v>
      </c>
      <c r="H95" s="5" t="s">
        <v>75</v>
      </c>
      <c r="I95" s="5" t="s">
        <v>406</v>
      </c>
    </row>
    <row r="96" customFormat="false" ht="15" hidden="false" customHeight="false" outlineLevel="0" collapsed="false">
      <c r="A96" s="6" t="s">
        <v>407</v>
      </c>
      <c r="B96" s="6" t="s">
        <v>408</v>
      </c>
      <c r="C96" s="6" t="s">
        <v>409</v>
      </c>
      <c r="D96" s="6" t="s">
        <v>410</v>
      </c>
      <c r="E96" s="6" t="s">
        <v>22</v>
      </c>
      <c r="F96" s="6" t="s">
        <v>47</v>
      </c>
      <c r="G96" s="6" t="s">
        <v>48</v>
      </c>
      <c r="H96" s="6" t="s">
        <v>62</v>
      </c>
      <c r="I96" s="6" t="s">
        <v>411</v>
      </c>
    </row>
    <row r="97" customFormat="false" ht="23.85" hidden="false" customHeight="false" outlineLevel="0" collapsed="false">
      <c r="A97" s="6" t="s">
        <v>412</v>
      </c>
      <c r="B97" s="6" t="s">
        <v>408</v>
      </c>
      <c r="C97" s="6" t="s">
        <v>413</v>
      </c>
      <c r="D97" s="6" t="s">
        <v>414</v>
      </c>
      <c r="E97" s="6" t="s">
        <v>22</v>
      </c>
      <c r="F97" s="6" t="s">
        <v>415</v>
      </c>
      <c r="G97" s="6" t="s">
        <v>168</v>
      </c>
      <c r="H97" s="6" t="s">
        <v>62</v>
      </c>
      <c r="I97" s="6" t="s">
        <v>416</v>
      </c>
    </row>
    <row r="98" customFormat="false" ht="15" hidden="false" customHeight="false" outlineLevel="0" collapsed="false">
      <c r="A98" s="5" t="s">
        <v>417</v>
      </c>
      <c r="B98" s="5" t="s">
        <v>408</v>
      </c>
      <c r="C98" s="5" t="s">
        <v>418</v>
      </c>
      <c r="D98" s="5" t="s">
        <v>419</v>
      </c>
      <c r="E98" s="5" t="s">
        <v>22</v>
      </c>
      <c r="F98" s="5" t="s">
        <v>415</v>
      </c>
      <c r="G98" s="5" t="s">
        <v>168</v>
      </c>
      <c r="H98" s="5" t="s">
        <v>25</v>
      </c>
      <c r="I98" s="5"/>
    </row>
    <row r="99" customFormat="false" ht="15" hidden="false" customHeight="false" outlineLevel="0" collapsed="false">
      <c r="A99" s="5" t="s">
        <v>420</v>
      </c>
      <c r="B99" s="5" t="s">
        <v>408</v>
      </c>
      <c r="C99" s="5" t="s">
        <v>421</v>
      </c>
      <c r="D99" s="5" t="s">
        <v>422</v>
      </c>
      <c r="E99" s="5" t="s">
        <v>22</v>
      </c>
      <c r="F99" s="5" t="s">
        <v>415</v>
      </c>
      <c r="G99" s="5" t="s">
        <v>168</v>
      </c>
      <c r="H99" s="5" t="s">
        <v>25</v>
      </c>
      <c r="I99" s="5"/>
    </row>
    <row r="100" customFormat="false" ht="23.85" hidden="false" customHeight="false" outlineLevel="0" collapsed="false">
      <c r="A100" s="5" t="s">
        <v>423</v>
      </c>
      <c r="B100" s="5" t="s">
        <v>408</v>
      </c>
      <c r="C100" s="5" t="s">
        <v>424</v>
      </c>
      <c r="D100" s="5" t="s">
        <v>425</v>
      </c>
      <c r="E100" s="5" t="s">
        <v>57</v>
      </c>
      <c r="F100" s="5" t="s">
        <v>426</v>
      </c>
      <c r="G100" s="5" t="s">
        <v>168</v>
      </c>
      <c r="H100" s="5" t="s">
        <v>31</v>
      </c>
      <c r="I100" s="5" t="s">
        <v>427</v>
      </c>
    </row>
    <row r="101" customFormat="false" ht="15" hidden="false" customHeight="false" outlineLevel="0" collapsed="false">
      <c r="A101" s="5" t="s">
        <v>428</v>
      </c>
      <c r="B101" s="5" t="s">
        <v>408</v>
      </c>
      <c r="C101" s="5" t="s">
        <v>429</v>
      </c>
      <c r="D101" s="5" t="s">
        <v>430</v>
      </c>
      <c r="E101" s="5" t="s">
        <v>22</v>
      </c>
      <c r="F101" s="5" t="s">
        <v>415</v>
      </c>
      <c r="G101" s="5" t="s">
        <v>168</v>
      </c>
      <c r="H101" s="5" t="s">
        <v>31</v>
      </c>
      <c r="I101" s="5"/>
    </row>
    <row r="102" customFormat="false" ht="15" hidden="false" customHeight="false" outlineLevel="0" collapsed="false">
      <c r="A102" s="5" t="s">
        <v>431</v>
      </c>
      <c r="B102" s="5" t="s">
        <v>408</v>
      </c>
      <c r="C102" s="5" t="s">
        <v>432</v>
      </c>
      <c r="D102" s="5" t="s">
        <v>433</v>
      </c>
      <c r="E102" s="5" t="s">
        <v>22</v>
      </c>
      <c r="F102" s="5" t="s">
        <v>415</v>
      </c>
      <c r="G102" s="5" t="s">
        <v>168</v>
      </c>
      <c r="H102" s="5" t="s">
        <v>25</v>
      </c>
      <c r="I102" s="5"/>
    </row>
    <row r="103" customFormat="false" ht="15" hidden="false" customHeight="false" outlineLevel="0" collapsed="false">
      <c r="A103" s="5" t="s">
        <v>434</v>
      </c>
      <c r="B103" s="5" t="s">
        <v>408</v>
      </c>
      <c r="C103" s="5" t="s">
        <v>435</v>
      </c>
      <c r="D103" s="5" t="s">
        <v>436</v>
      </c>
      <c r="E103" s="5" t="s">
        <v>52</v>
      </c>
      <c r="F103" s="5" t="s">
        <v>47</v>
      </c>
      <c r="G103" s="5" t="s">
        <v>48</v>
      </c>
      <c r="H103" s="5" t="s">
        <v>31</v>
      </c>
      <c r="I103" s="5"/>
    </row>
    <row r="104" customFormat="false" ht="15" hidden="false" customHeight="false" outlineLevel="0" collapsed="false">
      <c r="A104" s="5" t="s">
        <v>437</v>
      </c>
      <c r="B104" s="5" t="s">
        <v>408</v>
      </c>
      <c r="C104" s="5" t="s">
        <v>438</v>
      </c>
      <c r="D104" s="5" t="s">
        <v>439</v>
      </c>
      <c r="E104" s="5" t="s">
        <v>52</v>
      </c>
      <c r="F104" s="5" t="s">
        <v>167</v>
      </c>
      <c r="G104" s="5" t="s">
        <v>168</v>
      </c>
      <c r="H104" s="5" t="s">
        <v>31</v>
      </c>
      <c r="I104" s="5"/>
    </row>
    <row r="105" customFormat="false" ht="15" hidden="false" customHeight="false" outlineLevel="0" collapsed="false">
      <c r="A105" s="5" t="s">
        <v>440</v>
      </c>
      <c r="B105" s="5" t="s">
        <v>408</v>
      </c>
      <c r="C105" s="5" t="s">
        <v>441</v>
      </c>
      <c r="D105" s="5" t="s">
        <v>442</v>
      </c>
      <c r="E105" s="5" t="s">
        <v>22</v>
      </c>
      <c r="F105" s="5" t="s">
        <v>98</v>
      </c>
      <c r="G105" s="5" t="s">
        <v>99</v>
      </c>
      <c r="H105" s="5" t="s">
        <v>31</v>
      </c>
      <c r="I105" s="5"/>
    </row>
    <row r="106" customFormat="false" ht="15" hidden="false" customHeight="false" outlineLevel="0" collapsed="false">
      <c r="A106" s="5" t="s">
        <v>443</v>
      </c>
      <c r="B106" s="5" t="s">
        <v>408</v>
      </c>
      <c r="C106" s="5" t="s">
        <v>444</v>
      </c>
      <c r="D106" s="5" t="s">
        <v>445</v>
      </c>
      <c r="E106" s="5" t="s">
        <v>52</v>
      </c>
      <c r="F106" s="5" t="s">
        <v>269</v>
      </c>
      <c r="G106" s="5" t="s">
        <v>230</v>
      </c>
      <c r="H106" s="5" t="s">
        <v>31</v>
      </c>
      <c r="I106" s="5" t="s">
        <v>446</v>
      </c>
    </row>
    <row r="107" customFormat="false" ht="23.85" hidden="false" customHeight="false" outlineLevel="0" collapsed="false">
      <c r="A107" s="5" t="s">
        <v>447</v>
      </c>
      <c r="B107" s="5" t="s">
        <v>448</v>
      </c>
      <c r="C107" s="5" t="s">
        <v>449</v>
      </c>
      <c r="D107" s="5" t="s">
        <v>450</v>
      </c>
      <c r="E107" s="5" t="s">
        <v>22</v>
      </c>
      <c r="F107" s="5" t="s">
        <v>451</v>
      </c>
      <c r="G107" s="5" t="s">
        <v>452</v>
      </c>
      <c r="H107" s="5" t="s">
        <v>25</v>
      </c>
      <c r="I107" s="5" t="s">
        <v>453</v>
      </c>
    </row>
    <row r="108" customFormat="false" ht="15" hidden="false" customHeight="false" outlineLevel="0" collapsed="false">
      <c r="A108" s="5" t="s">
        <v>454</v>
      </c>
      <c r="B108" s="5" t="s">
        <v>448</v>
      </c>
      <c r="C108" s="5" t="s">
        <v>455</v>
      </c>
      <c r="D108" s="5" t="s">
        <v>456</v>
      </c>
      <c r="E108" s="5" t="s">
        <v>22</v>
      </c>
      <c r="F108" s="5" t="s">
        <v>457</v>
      </c>
      <c r="G108" s="5" t="s">
        <v>452</v>
      </c>
      <c r="H108" s="5" t="s">
        <v>31</v>
      </c>
      <c r="I108" s="5"/>
    </row>
    <row r="109" customFormat="false" ht="23.85" hidden="false" customHeight="false" outlineLevel="0" collapsed="false">
      <c r="A109" s="5" t="s">
        <v>458</v>
      </c>
      <c r="B109" s="5" t="s">
        <v>448</v>
      </c>
      <c r="C109" s="5" t="s">
        <v>459</v>
      </c>
      <c r="D109" s="5" t="s">
        <v>460</v>
      </c>
      <c r="E109" s="5" t="s">
        <v>22</v>
      </c>
      <c r="F109" s="5" t="s">
        <v>461</v>
      </c>
      <c r="G109" s="5" t="s">
        <v>452</v>
      </c>
      <c r="H109" s="5" t="s">
        <v>31</v>
      </c>
      <c r="I109" s="5"/>
    </row>
    <row r="110" customFormat="false" ht="15" hidden="false" customHeight="false" outlineLevel="0" collapsed="false">
      <c r="A110" s="6" t="s">
        <v>462</v>
      </c>
      <c r="B110" s="6" t="s">
        <v>463</v>
      </c>
      <c r="C110" s="6" t="s">
        <v>464</v>
      </c>
      <c r="D110" s="6" t="s">
        <v>465</v>
      </c>
      <c r="E110" s="6" t="s">
        <v>22</v>
      </c>
      <c r="F110" s="6" t="s">
        <v>23</v>
      </c>
      <c r="G110" s="6" t="s">
        <v>24</v>
      </c>
      <c r="H110" s="6" t="s">
        <v>62</v>
      </c>
      <c r="I110" s="6" t="s">
        <v>466</v>
      </c>
    </row>
    <row r="111" customFormat="false" ht="15" hidden="false" customHeight="false" outlineLevel="0" collapsed="false">
      <c r="A111" s="6" t="s">
        <v>467</v>
      </c>
      <c r="B111" s="6" t="s">
        <v>463</v>
      </c>
      <c r="C111" s="6" t="s">
        <v>468</v>
      </c>
      <c r="D111" s="6" t="s">
        <v>469</v>
      </c>
      <c r="E111" s="6" t="s">
        <v>22</v>
      </c>
      <c r="F111" s="6" t="s">
        <v>470</v>
      </c>
      <c r="G111" s="6" t="s">
        <v>99</v>
      </c>
      <c r="H111" s="6" t="s">
        <v>62</v>
      </c>
      <c r="I111" s="6" t="s">
        <v>471</v>
      </c>
    </row>
    <row r="112" customFormat="false" ht="23.85" hidden="false" customHeight="false" outlineLevel="0" collapsed="false">
      <c r="A112" s="6" t="s">
        <v>472</v>
      </c>
      <c r="B112" s="6" t="s">
        <v>473</v>
      </c>
      <c r="C112" s="6" t="s">
        <v>473</v>
      </c>
      <c r="D112" s="6" t="s">
        <v>474</v>
      </c>
      <c r="E112" s="6" t="s">
        <v>74</v>
      </c>
      <c r="F112" s="6" t="s">
        <v>475</v>
      </c>
      <c r="G112" s="6" t="s">
        <v>476</v>
      </c>
      <c r="H112" s="6" t="s">
        <v>62</v>
      </c>
      <c r="I112" s="6" t="s">
        <v>477</v>
      </c>
    </row>
  </sheetData>
  <autoFilter ref="A1:I1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</cols>
  <sheetData>
    <row r="1" customFormat="false" ht="15" hidden="false" customHeight="false" outlineLevel="0" collapsed="false">
      <c r="A1" s="7" t="s">
        <v>16</v>
      </c>
      <c r="B1" s="7" t="s">
        <v>478</v>
      </c>
    </row>
    <row r="2" customFormat="false" ht="15" hidden="false" customHeight="false" outlineLevel="0" collapsed="false">
      <c r="A2" s="2" t="s">
        <v>25</v>
      </c>
      <c r="B2" s="2" t="n">
        <f aca="false">COUNTIF(Anforderungen!$H$2:$H$112,A2)</f>
        <v>39</v>
      </c>
    </row>
    <row r="3" customFormat="false" ht="15" hidden="false" customHeight="false" outlineLevel="0" collapsed="false">
      <c r="A3" s="2" t="s">
        <v>31</v>
      </c>
      <c r="B3" s="2" t="n">
        <f aca="false">COUNTIF(Anforderungen!$H$2:$H$112,A3)</f>
        <v>50</v>
      </c>
    </row>
    <row r="4" customFormat="false" ht="15" hidden="false" customHeight="false" outlineLevel="0" collapsed="false">
      <c r="A4" s="2" t="s">
        <v>62</v>
      </c>
      <c r="B4" s="2" t="n">
        <f aca="false">COUNTIF(Anforderungen!$H$2:$H$112,A4)</f>
        <v>19</v>
      </c>
    </row>
    <row r="5" customFormat="false" ht="15" hidden="false" customHeight="false" outlineLevel="0" collapsed="false">
      <c r="A5" s="2" t="s">
        <v>75</v>
      </c>
      <c r="B5" s="2" t="n">
        <f aca="false">COUNTIF(Anforderungen!$H$2:$H$112,A5)</f>
        <v>2</v>
      </c>
    </row>
    <row r="6" customFormat="false" ht="15" hidden="false" customHeight="false" outlineLevel="0" collapsed="false">
      <c r="A6" s="2" t="s">
        <v>198</v>
      </c>
      <c r="B6" s="2" t="n">
        <f aca="false">COUNTIF(Anforderungen!$H$2:$H$112,A6)</f>
        <v>1</v>
      </c>
    </row>
    <row r="7" customFormat="false" ht="15" hidden="false" customHeight="false" outlineLevel="0" collapsed="false">
      <c r="A7" s="7" t="s">
        <v>479</v>
      </c>
      <c r="B7" s="2" t="n">
        <f aca="false">COUNTA(Anforderungen!$A$2:$A$112)</f>
        <v>111</v>
      </c>
    </row>
    <row r="8" customFormat="false" ht="15" hidden="false" customHeight="false" outlineLevel="0" collapsed="false">
      <c r="A8" s="2"/>
      <c r="B8" s="2"/>
    </row>
    <row r="9" customFormat="false" ht="15" hidden="false" customHeight="false" outlineLevel="0" collapsed="false">
      <c r="A9" s="7" t="s">
        <v>10</v>
      </c>
      <c r="B9" s="7" t="s">
        <v>478</v>
      </c>
    </row>
    <row r="10" customFormat="false" ht="15" hidden="false" customHeight="false" outlineLevel="0" collapsed="false">
      <c r="A10" s="2" t="s">
        <v>19</v>
      </c>
      <c r="B10" s="2" t="n">
        <f aca="false">COUNTIF(Anforderungen!$B$2:$B$112,A10)</f>
        <v>10</v>
      </c>
    </row>
    <row r="11" customFormat="false" ht="15" hidden="false" customHeight="false" outlineLevel="0" collapsed="false">
      <c r="A11" s="2" t="s">
        <v>78</v>
      </c>
      <c r="B11" s="2" t="n">
        <f aca="false">COUNTIF(Anforderungen!$B$2:$B$112,A11)</f>
        <v>15</v>
      </c>
    </row>
    <row r="12" customFormat="false" ht="15" hidden="false" customHeight="false" outlineLevel="0" collapsed="false">
      <c r="A12" s="2" t="s">
        <v>135</v>
      </c>
      <c r="B12" s="2" t="n">
        <f aca="false">COUNTIF(Anforderungen!$B$2:$B$112,A12)</f>
        <v>15</v>
      </c>
    </row>
    <row r="13" customFormat="false" ht="15" hidden="false" customHeight="false" outlineLevel="0" collapsed="false">
      <c r="A13" s="2" t="s">
        <v>201</v>
      </c>
      <c r="B13" s="2" t="n">
        <f aca="false">COUNTIF(Anforderungen!$B$2:$B$112,A13)</f>
        <v>18</v>
      </c>
    </row>
    <row r="14" customFormat="false" ht="15" hidden="false" customHeight="false" outlineLevel="0" collapsed="false">
      <c r="A14" s="2" t="s">
        <v>280</v>
      </c>
      <c r="B14" s="2" t="n">
        <f aca="false">COUNTIF(Anforderungen!$B$2:$B$112,A14)</f>
        <v>11</v>
      </c>
    </row>
    <row r="15" customFormat="false" ht="15" hidden="false" customHeight="false" outlineLevel="0" collapsed="false">
      <c r="A15" s="2" t="s">
        <v>317</v>
      </c>
      <c r="B15" s="2" t="n">
        <f aca="false">COUNTIF(Anforderungen!$B$2:$B$112,A15)</f>
        <v>10</v>
      </c>
    </row>
    <row r="16" customFormat="false" ht="15" hidden="false" customHeight="false" outlineLevel="0" collapsed="false">
      <c r="A16" s="2" t="s">
        <v>352</v>
      </c>
      <c r="B16" s="2" t="n">
        <f aca="false">COUNTIF(Anforderungen!$B$2:$B$112,A16)</f>
        <v>8</v>
      </c>
    </row>
    <row r="17" customFormat="false" ht="15" hidden="false" customHeight="false" outlineLevel="0" collapsed="false">
      <c r="A17" s="2" t="s">
        <v>382</v>
      </c>
      <c r="B17" s="2" t="n">
        <f aca="false">COUNTIF(Anforderungen!$B$2:$B$112,A17)</f>
        <v>7</v>
      </c>
    </row>
    <row r="18" customFormat="false" ht="15" hidden="false" customHeight="false" outlineLevel="0" collapsed="false">
      <c r="A18" s="2" t="s">
        <v>408</v>
      </c>
      <c r="B18" s="2" t="n">
        <f aca="false">COUNTIF(Anforderungen!$B$2:$B$112,A18)</f>
        <v>11</v>
      </c>
    </row>
    <row r="19" customFormat="false" ht="15" hidden="false" customHeight="false" outlineLevel="0" collapsed="false">
      <c r="A19" s="2" t="s">
        <v>448</v>
      </c>
      <c r="B19" s="2" t="n">
        <f aca="false">COUNTIF(Anforderungen!$B$2:$B$112,A19)</f>
        <v>3</v>
      </c>
    </row>
    <row r="20" customFormat="false" ht="15" hidden="false" customHeight="false" outlineLevel="0" collapsed="false">
      <c r="A20" s="2" t="s">
        <v>463</v>
      </c>
      <c r="B20" s="2" t="n">
        <f aca="false">COUNTIF(Anforderungen!$B$2:$B$112,A20)</f>
        <v>2</v>
      </c>
    </row>
    <row r="21" customFormat="false" ht="15" hidden="false" customHeight="false" outlineLevel="0" collapsed="false">
      <c r="A21" s="2" t="s">
        <v>473</v>
      </c>
      <c r="B21" s="2" t="n">
        <f aca="false">COUNTIF(Anforderungen!$B$2:$B$112,A21)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8" t="s">
        <v>480</v>
      </c>
      <c r="B1" s="8" t="s">
        <v>481</v>
      </c>
      <c r="C1" s="8" t="s">
        <v>482</v>
      </c>
      <c r="D1" s="8" t="s">
        <v>14</v>
      </c>
      <c r="E1" s="8" t="s">
        <v>483</v>
      </c>
      <c r="F1" s="8" t="s">
        <v>484</v>
      </c>
    </row>
    <row r="2" customFormat="false" ht="15" hidden="false" customHeight="false" outlineLevel="0" collapsed="false">
      <c r="A2" s="2" t="s">
        <v>485</v>
      </c>
      <c r="B2" s="9" t="n">
        <v>420</v>
      </c>
      <c r="C2" s="2" t="s">
        <v>486</v>
      </c>
      <c r="D2" s="2" t="s">
        <v>487</v>
      </c>
      <c r="E2" s="2" t="s">
        <v>488</v>
      </c>
      <c r="F2" s="2"/>
    </row>
    <row r="3" customFormat="false" ht="15" hidden="false" customHeight="false" outlineLevel="0" collapsed="false">
      <c r="A3" s="2" t="s">
        <v>489</v>
      </c>
      <c r="B3" s="9" t="n">
        <v>427</v>
      </c>
      <c r="C3" s="2" t="s">
        <v>490</v>
      </c>
      <c r="D3" s="2" t="s">
        <v>491</v>
      </c>
      <c r="E3" s="2" t="s">
        <v>492</v>
      </c>
      <c r="F3" s="2"/>
    </row>
    <row r="4" customFormat="false" ht="15" hidden="false" customHeight="false" outlineLevel="0" collapsed="false">
      <c r="A4" s="2" t="s">
        <v>493</v>
      </c>
      <c r="B4" s="9" t="n">
        <v>118</v>
      </c>
      <c r="C4" s="2" t="s">
        <v>486</v>
      </c>
      <c r="D4" s="2" t="s">
        <v>494</v>
      </c>
      <c r="E4" s="2" t="s">
        <v>492</v>
      </c>
      <c r="F4" s="2" t="s">
        <v>495</v>
      </c>
    </row>
    <row r="5" customFormat="false" ht="15" hidden="false" customHeight="false" outlineLevel="0" collapsed="false">
      <c r="A5" s="2" t="s">
        <v>496</v>
      </c>
      <c r="B5" s="9" t="n">
        <v>180</v>
      </c>
      <c r="C5" s="2" t="s">
        <v>497</v>
      </c>
      <c r="D5" s="2" t="s">
        <v>23</v>
      </c>
      <c r="E5" s="2" t="s">
        <v>498</v>
      </c>
      <c r="F5" s="2" t="s">
        <v>499</v>
      </c>
    </row>
    <row r="6" customFormat="false" ht="15" hidden="false" customHeight="false" outlineLevel="0" collapsed="false">
      <c r="A6" s="2" t="s">
        <v>496</v>
      </c>
      <c r="B6" s="9" t="n">
        <v>230</v>
      </c>
      <c r="C6" s="2" t="s">
        <v>486</v>
      </c>
      <c r="D6" s="2" t="s">
        <v>500</v>
      </c>
      <c r="E6" s="2" t="s">
        <v>492</v>
      </c>
      <c r="F6" s="2" t="s">
        <v>501</v>
      </c>
    </row>
    <row r="7" customFormat="false" ht="15" hidden="false" customHeight="false" outlineLevel="0" collapsed="false">
      <c r="A7" s="2" t="s">
        <v>502</v>
      </c>
      <c r="B7" s="9" t="n">
        <v>140</v>
      </c>
      <c r="C7" s="2" t="s">
        <v>503</v>
      </c>
      <c r="D7" s="2" t="s">
        <v>500</v>
      </c>
      <c r="E7" s="2" t="s">
        <v>492</v>
      </c>
      <c r="F7" s="2"/>
    </row>
    <row r="8" customFormat="false" ht="15" hidden="false" customHeight="false" outlineLevel="0" collapsed="false">
      <c r="A8" s="2" t="s">
        <v>504</v>
      </c>
      <c r="B8" s="9" t="n">
        <v>150</v>
      </c>
      <c r="C8" s="2" t="s">
        <v>505</v>
      </c>
      <c r="D8" s="2" t="s">
        <v>167</v>
      </c>
      <c r="E8" s="2" t="s">
        <v>488</v>
      </c>
      <c r="F8" s="2"/>
    </row>
    <row r="9" customFormat="false" ht="15" hidden="false" customHeight="false" outlineLevel="0" collapsed="false">
      <c r="A9" s="2" t="s">
        <v>506</v>
      </c>
      <c r="B9" s="9" t="n">
        <v>31</v>
      </c>
      <c r="C9" s="2" t="s">
        <v>505</v>
      </c>
      <c r="D9" s="2" t="s">
        <v>507</v>
      </c>
      <c r="E9" s="2" t="s">
        <v>488</v>
      </c>
      <c r="F9" s="2"/>
    </row>
    <row r="10" customFormat="false" ht="15" hidden="false" customHeight="false" outlineLevel="0" collapsed="false">
      <c r="A10" s="2" t="s">
        <v>508</v>
      </c>
      <c r="B10" s="9" t="n">
        <v>50</v>
      </c>
      <c r="C10" s="2" t="s">
        <v>505</v>
      </c>
      <c r="D10" s="2" t="s">
        <v>98</v>
      </c>
      <c r="E10" s="2" t="s">
        <v>492</v>
      </c>
      <c r="F10" s="2" t="s">
        <v>509</v>
      </c>
    </row>
    <row r="11" customFormat="false" ht="15" hidden="false" customHeight="false" outlineLevel="0" collapsed="false">
      <c r="A11" s="2" t="s">
        <v>510</v>
      </c>
      <c r="B11" s="9" t="n">
        <v>210</v>
      </c>
      <c r="C11" s="2" t="s">
        <v>486</v>
      </c>
      <c r="D11" s="2" t="s">
        <v>167</v>
      </c>
      <c r="E11" s="2" t="s">
        <v>488</v>
      </c>
      <c r="F11" s="2"/>
    </row>
    <row r="12" customFormat="false" ht="15" hidden="false" customHeight="false" outlineLevel="0" collapsed="false">
      <c r="A12" s="2" t="s">
        <v>511</v>
      </c>
      <c r="B12" s="9" t="n">
        <v>38</v>
      </c>
      <c r="C12" s="2" t="s">
        <v>512</v>
      </c>
      <c r="D12" s="2" t="s">
        <v>167</v>
      </c>
      <c r="E12" s="2" t="s">
        <v>488</v>
      </c>
      <c r="F12" s="2"/>
    </row>
    <row r="13" customFormat="false" ht="15" hidden="false" customHeight="false" outlineLevel="0" collapsed="false">
      <c r="A13" s="2" t="s">
        <v>513</v>
      </c>
      <c r="B13" s="9" t="n">
        <v>14</v>
      </c>
      <c r="C13" s="2" t="s">
        <v>486</v>
      </c>
      <c r="D13" s="2" t="s">
        <v>42</v>
      </c>
      <c r="E13" s="2" t="s">
        <v>492</v>
      </c>
      <c r="F13" s="2"/>
    </row>
    <row r="14" customFormat="false" ht="15" hidden="false" customHeight="false" outlineLevel="0" collapsed="false">
      <c r="A14" s="2" t="s">
        <v>514</v>
      </c>
      <c r="B14" s="9" t="n">
        <v>52000</v>
      </c>
      <c r="C14" s="2" t="s">
        <v>515</v>
      </c>
      <c r="D14" s="2" t="s">
        <v>500</v>
      </c>
      <c r="E14" s="2" t="s">
        <v>492</v>
      </c>
      <c r="F14" s="2"/>
    </row>
    <row r="15" customFormat="false" ht="15" hidden="false" customHeight="false" outlineLevel="0" collapsed="false">
      <c r="A15" s="2" t="s">
        <v>516</v>
      </c>
      <c r="B15" s="9" t="n">
        <v>118000</v>
      </c>
      <c r="C15" s="2" t="s">
        <v>515</v>
      </c>
      <c r="D15" s="2" t="s">
        <v>500</v>
      </c>
      <c r="E15" s="2" t="s">
        <v>492</v>
      </c>
      <c r="F15" s="2"/>
    </row>
    <row r="16" customFormat="false" ht="15" hidden="false" customHeight="false" outlineLevel="0" collapsed="false">
      <c r="A16" s="2" t="s">
        <v>514</v>
      </c>
      <c r="B16" s="9" t="n">
        <v>31000</v>
      </c>
      <c r="C16" s="2" t="s">
        <v>515</v>
      </c>
      <c r="D16" s="2" t="s">
        <v>73</v>
      </c>
      <c r="E16" s="2" t="s">
        <v>517</v>
      </c>
      <c r="F16" s="2" t="s">
        <v>518</v>
      </c>
    </row>
    <row r="17" customFormat="false" ht="15" hidden="false" customHeight="false" outlineLevel="0" collapsed="false">
      <c r="A17" s="2" t="s">
        <v>519</v>
      </c>
      <c r="B17" s="9" t="n">
        <v>9000</v>
      </c>
      <c r="C17" s="2" t="s">
        <v>515</v>
      </c>
      <c r="D17" s="2" t="s">
        <v>283</v>
      </c>
      <c r="E17" s="2" t="s">
        <v>492</v>
      </c>
      <c r="F17" s="2"/>
    </row>
    <row r="18" customFormat="false" ht="15" hidden="false" customHeight="false" outlineLevel="0" collapsed="false">
      <c r="A18" s="2" t="s">
        <v>520</v>
      </c>
      <c r="B18" s="9" t="n">
        <v>38000</v>
      </c>
      <c r="C18" s="2" t="s">
        <v>521</v>
      </c>
      <c r="D18" s="2" t="s">
        <v>522</v>
      </c>
      <c r="E18" s="2" t="s">
        <v>492</v>
      </c>
      <c r="F18" s="2" t="s">
        <v>523</v>
      </c>
    </row>
    <row r="19" customFormat="false" ht="15" hidden="false" customHeight="false" outlineLevel="0" collapsed="false">
      <c r="A19" s="2" t="s">
        <v>524</v>
      </c>
      <c r="B19" s="9" t="n">
        <v>2900</v>
      </c>
      <c r="C19" s="2" t="s">
        <v>525</v>
      </c>
      <c r="D19" s="2" t="s">
        <v>188</v>
      </c>
      <c r="E19" s="2" t="s">
        <v>492</v>
      </c>
      <c r="F19" s="2"/>
    </row>
    <row r="20" customFormat="false" ht="15" hidden="false" customHeight="false" outlineLevel="0" collapsed="false">
      <c r="A20" s="2" t="s">
        <v>526</v>
      </c>
      <c r="B20" s="9" t="n">
        <v>640</v>
      </c>
      <c r="C20" s="2" t="s">
        <v>527</v>
      </c>
      <c r="D20" s="2" t="s">
        <v>528</v>
      </c>
      <c r="E20" s="2" t="s">
        <v>488</v>
      </c>
      <c r="F20" s="2"/>
    </row>
    <row r="21" customFormat="false" ht="15" hidden="false" customHeight="false" outlineLevel="0" collapsed="false">
      <c r="A21" s="2" t="s">
        <v>529</v>
      </c>
      <c r="B21" s="9" t="n">
        <v>14000</v>
      </c>
      <c r="C21" s="2" t="s">
        <v>521</v>
      </c>
      <c r="D21" s="2" t="s">
        <v>188</v>
      </c>
      <c r="E21" s="2" t="s">
        <v>492</v>
      </c>
      <c r="F21" s="2"/>
    </row>
    <row r="22" customFormat="false" ht="15" hidden="false" customHeight="false" outlineLevel="0" collapsed="false">
      <c r="A22" s="2" t="s">
        <v>530</v>
      </c>
      <c r="B22" s="9" t="n">
        <v>9200</v>
      </c>
      <c r="C22" s="2" t="s">
        <v>521</v>
      </c>
      <c r="D22" s="2" t="s">
        <v>188</v>
      </c>
      <c r="E22" s="2" t="s">
        <v>492</v>
      </c>
      <c r="F22" s="2"/>
    </row>
    <row r="23" customFormat="false" ht="15" hidden="false" customHeight="false" outlineLevel="0" collapsed="false">
      <c r="A23" s="2" t="s">
        <v>531</v>
      </c>
      <c r="B23" s="9" t="n">
        <v>380</v>
      </c>
      <c r="C23" s="2" t="s">
        <v>532</v>
      </c>
      <c r="D23" s="2" t="s">
        <v>188</v>
      </c>
      <c r="E23" s="2" t="s">
        <v>492</v>
      </c>
      <c r="F23" s="2" t="s">
        <v>533</v>
      </c>
    </row>
    <row r="24" customFormat="false" ht="15" hidden="false" customHeight="false" outlineLevel="0" collapsed="false">
      <c r="A24" s="2" t="s">
        <v>534</v>
      </c>
      <c r="B24" s="9" t="n">
        <v>21000</v>
      </c>
      <c r="C24" s="2" t="s">
        <v>535</v>
      </c>
      <c r="D24" s="2" t="s">
        <v>188</v>
      </c>
      <c r="E24" s="2" t="s">
        <v>492</v>
      </c>
      <c r="F24" s="2"/>
    </row>
    <row r="25" customFormat="false" ht="15" hidden="false" customHeight="false" outlineLevel="0" collapsed="false">
      <c r="A25" s="2" t="s">
        <v>536</v>
      </c>
      <c r="B25" s="9" t="n">
        <v>11500</v>
      </c>
      <c r="C25" s="2" t="s">
        <v>521</v>
      </c>
      <c r="D25" s="2" t="s">
        <v>188</v>
      </c>
      <c r="E25" s="2" t="s">
        <v>492</v>
      </c>
      <c r="F25" s="2"/>
    </row>
    <row r="26" customFormat="false" ht="15" hidden="false" customHeight="false" outlineLevel="0" collapsed="false">
      <c r="A26" s="2" t="s">
        <v>537</v>
      </c>
      <c r="B26" s="9" t="n">
        <v>13500</v>
      </c>
      <c r="C26" s="2" t="s">
        <v>521</v>
      </c>
      <c r="D26" s="2" t="s">
        <v>528</v>
      </c>
      <c r="E26" s="2" t="s">
        <v>488</v>
      </c>
      <c r="F26" s="2"/>
    </row>
    <row r="27" customFormat="false" ht="15" hidden="false" customHeight="false" outlineLevel="0" collapsed="false">
      <c r="A27" s="2" t="s">
        <v>538</v>
      </c>
      <c r="B27" s="9" t="n">
        <v>16000</v>
      </c>
      <c r="C27" s="2" t="s">
        <v>539</v>
      </c>
      <c r="D27" s="2" t="s">
        <v>540</v>
      </c>
      <c r="E27" s="2" t="s">
        <v>492</v>
      </c>
      <c r="F27" s="2"/>
    </row>
    <row r="28" customFormat="false" ht="15" hidden="false" customHeight="false" outlineLevel="0" collapsed="false">
      <c r="A28" s="2" t="s">
        <v>538</v>
      </c>
      <c r="B28" s="9" t="n">
        <v>14500</v>
      </c>
      <c r="C28" s="2" t="s">
        <v>539</v>
      </c>
      <c r="D28" s="2" t="s">
        <v>204</v>
      </c>
      <c r="E28" s="2" t="s">
        <v>492</v>
      </c>
      <c r="F28" s="2" t="s">
        <v>541</v>
      </c>
    </row>
    <row r="29" customFormat="false" ht="15" hidden="false" customHeight="false" outlineLevel="0" collapsed="false">
      <c r="A29" s="2" t="s">
        <v>542</v>
      </c>
      <c r="B29" s="9" t="n">
        <v>5500</v>
      </c>
      <c r="C29" s="2" t="s">
        <v>539</v>
      </c>
      <c r="D29" s="2" t="s">
        <v>540</v>
      </c>
      <c r="E29" s="2" t="s">
        <v>492</v>
      </c>
      <c r="F29" s="2"/>
    </row>
    <row r="30" customFormat="false" ht="15" hidden="false" customHeight="false" outlineLevel="0" collapsed="false">
      <c r="A30" s="2" t="s">
        <v>543</v>
      </c>
      <c r="B30" s="9" t="n">
        <v>1800</v>
      </c>
      <c r="C30" s="2" t="s">
        <v>544</v>
      </c>
      <c r="D30" s="2" t="s">
        <v>540</v>
      </c>
      <c r="E30" s="2" t="s">
        <v>492</v>
      </c>
      <c r="F30" s="2"/>
    </row>
    <row r="31" customFormat="false" ht="15" hidden="false" customHeight="false" outlineLevel="0" collapsed="false">
      <c r="A31" s="2" t="s">
        <v>545</v>
      </c>
      <c r="B31" s="9" t="n">
        <v>22000</v>
      </c>
      <c r="C31" s="2" t="s">
        <v>521</v>
      </c>
      <c r="D31" s="2" t="s">
        <v>546</v>
      </c>
      <c r="E31" s="2" t="s">
        <v>492</v>
      </c>
      <c r="F31" s="2" t="s">
        <v>547</v>
      </c>
    </row>
    <row r="32" customFormat="false" ht="15" hidden="false" customHeight="false" outlineLevel="0" collapsed="false">
      <c r="A32" s="2" t="s">
        <v>548</v>
      </c>
      <c r="B32" s="9" t="n">
        <v>4800</v>
      </c>
      <c r="C32" s="2" t="s">
        <v>549</v>
      </c>
      <c r="D32" s="2" t="s">
        <v>550</v>
      </c>
      <c r="E32" s="2" t="s">
        <v>488</v>
      </c>
      <c r="F32" s="2" t="s">
        <v>551</v>
      </c>
    </row>
    <row r="33" customFormat="false" ht="15" hidden="false" customHeight="false" outlineLevel="0" collapsed="false">
      <c r="A33" s="2" t="s">
        <v>552</v>
      </c>
      <c r="B33" s="9" t="n">
        <v>60</v>
      </c>
      <c r="C33" s="2" t="s">
        <v>553</v>
      </c>
      <c r="D33" s="2" t="s">
        <v>550</v>
      </c>
      <c r="E33" s="2" t="s">
        <v>488</v>
      </c>
      <c r="F33" s="2"/>
    </row>
    <row r="34" customFormat="false" ht="15" hidden="false" customHeight="false" outlineLevel="0" collapsed="false">
      <c r="A34" s="2" t="s">
        <v>554</v>
      </c>
      <c r="B34" s="9" t="n">
        <v>180000</v>
      </c>
      <c r="C34" s="2" t="s">
        <v>521</v>
      </c>
      <c r="D34" s="2" t="s">
        <v>355</v>
      </c>
      <c r="E34" s="2" t="s">
        <v>492</v>
      </c>
      <c r="F34" s="2" t="s">
        <v>555</v>
      </c>
    </row>
    <row r="35" customFormat="false" ht="15" hidden="false" customHeight="false" outlineLevel="0" collapsed="false">
      <c r="A35" s="2" t="s">
        <v>556</v>
      </c>
      <c r="B35" s="9" t="n">
        <v>8</v>
      </c>
      <c r="C35" s="2" t="s">
        <v>486</v>
      </c>
      <c r="D35" s="2" t="s">
        <v>355</v>
      </c>
      <c r="E35" s="2" t="s">
        <v>492</v>
      </c>
      <c r="F35" s="2" t="s">
        <v>557</v>
      </c>
    </row>
    <row r="36" customFormat="false" ht="15" hidden="false" customHeight="false" outlineLevel="0" collapsed="false">
      <c r="A36" s="2" t="s">
        <v>369</v>
      </c>
      <c r="B36" s="9" t="n">
        <v>41</v>
      </c>
      <c r="C36" s="2" t="s">
        <v>558</v>
      </c>
      <c r="D36" s="2" t="s">
        <v>559</v>
      </c>
      <c r="E36" s="2" t="s">
        <v>488</v>
      </c>
      <c r="F36" s="2" t="s">
        <v>560</v>
      </c>
    </row>
    <row r="37" customFormat="false" ht="15" hidden="false" customHeight="false" outlineLevel="0" collapsed="false">
      <c r="A37" s="2" t="s">
        <v>561</v>
      </c>
      <c r="B37" s="9" t="n">
        <v>1400</v>
      </c>
      <c r="C37" s="2" t="s">
        <v>521</v>
      </c>
      <c r="D37" s="2" t="s">
        <v>385</v>
      </c>
      <c r="E37" s="2" t="s">
        <v>492</v>
      </c>
      <c r="F37" s="2"/>
    </row>
    <row r="38" customFormat="false" ht="15" hidden="false" customHeight="false" outlineLevel="0" collapsed="false">
      <c r="A38" s="2" t="s">
        <v>562</v>
      </c>
      <c r="B38" s="9" t="n">
        <v>45</v>
      </c>
      <c r="C38" s="2" t="s">
        <v>563</v>
      </c>
      <c r="D38" s="2" t="s">
        <v>204</v>
      </c>
      <c r="E38" s="2" t="s">
        <v>492</v>
      </c>
      <c r="F38" s="2"/>
    </row>
    <row r="39" customFormat="false" ht="15" hidden="false" customHeight="false" outlineLevel="0" collapsed="false">
      <c r="A39" s="2" t="s">
        <v>564</v>
      </c>
      <c r="B39" s="10" t="n">
        <v>86.4</v>
      </c>
      <c r="C39" s="2" t="s">
        <v>565</v>
      </c>
      <c r="D39" s="2" t="s">
        <v>487</v>
      </c>
      <c r="E39" s="2" t="s">
        <v>488</v>
      </c>
      <c r="F39" s="2" t="s">
        <v>566</v>
      </c>
    </row>
    <row r="40" customFormat="false" ht="15" hidden="false" customHeight="false" outlineLevel="0" collapsed="false">
      <c r="A40" s="2" t="s">
        <v>564</v>
      </c>
      <c r="B40" s="10" t="n">
        <v>82.7</v>
      </c>
      <c r="C40" s="2" t="s">
        <v>565</v>
      </c>
      <c r="D40" s="2" t="s">
        <v>491</v>
      </c>
      <c r="E40" s="2" t="s">
        <v>492</v>
      </c>
      <c r="F40" s="2" t="s">
        <v>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2026-10-23T15:46:49Z</dcterms:created>
  <dc:creator>openpyxl</dc:creator>
  <dc:description/>
  <dc:language>en-US</dc:language>
  <cp:lastModifiedBy/>
  <dcterms:modified xsi:type="dcterms:W3CDTF">2026-10-23T15:46:49Z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